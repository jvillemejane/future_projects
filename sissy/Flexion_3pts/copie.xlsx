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projects\sissy\"/>
    </mc:Choice>
  </mc:AlternateContent>
  <xr:revisionPtr revIDLastSave="0" documentId="13_ncr:1_{3FCB6C5D-5CE7-4682-A258-8C58C1B2B6C9}" xr6:coauthVersionLast="47" xr6:coauthVersionMax="47" xr10:uidLastSave="{00000000-0000-0000-0000-000000000000}"/>
  <bookViews>
    <workbookView xWindow="-120" yWindow="-120" windowWidth="29040" windowHeight="15720" xr2:uid="{8F4AC556-A85C-4DAC-A1A6-B5B0DE5AA017}"/>
  </bookViews>
  <sheets>
    <sheet name="donnees" sheetId="1" r:id="rId1"/>
    <sheet name="Commentai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6" i="1" l="1"/>
  <c r="I105" i="1"/>
  <c r="I104" i="1"/>
  <c r="I103" i="1"/>
  <c r="I102" i="1"/>
  <c r="I121" i="1"/>
  <c r="I120" i="1"/>
  <c r="I119" i="1"/>
  <c r="I118" i="1"/>
  <c r="I117" i="1"/>
  <c r="I136" i="1"/>
  <c r="I135" i="1"/>
  <c r="I134" i="1"/>
  <c r="I133" i="1"/>
  <c r="I132" i="1"/>
  <c r="I151" i="1"/>
  <c r="I150" i="1"/>
  <c r="I149" i="1"/>
  <c r="I148" i="1"/>
  <c r="I147" i="1"/>
  <c r="I166" i="1"/>
  <c r="I165" i="1"/>
  <c r="I164" i="1"/>
  <c r="I163" i="1"/>
  <c r="I162" i="1"/>
  <c r="I181" i="1"/>
  <c r="I180" i="1"/>
  <c r="I179" i="1"/>
  <c r="I178" i="1"/>
  <c r="I177" i="1"/>
  <c r="I196" i="1"/>
  <c r="I195" i="1"/>
  <c r="I194" i="1"/>
  <c r="I193" i="1"/>
  <c r="I192" i="1"/>
  <c r="I91" i="1"/>
  <c r="I90" i="1"/>
  <c r="I89" i="1"/>
  <c r="I88" i="1"/>
  <c r="I87" i="1"/>
  <c r="I76" i="1"/>
  <c r="I75" i="1"/>
  <c r="I74" i="1"/>
  <c r="I73" i="1"/>
  <c r="I72" i="1"/>
  <c r="I61" i="1"/>
  <c r="I60" i="1"/>
  <c r="I59" i="1"/>
  <c r="I58" i="1"/>
  <c r="I57" i="1"/>
  <c r="I46" i="1"/>
  <c r="I45" i="1"/>
  <c r="I44" i="1"/>
  <c r="I43" i="1"/>
  <c r="I42" i="1"/>
  <c r="I27" i="1"/>
  <c r="I31" i="1"/>
  <c r="I30" i="1"/>
  <c r="I29" i="1"/>
  <c r="I28" i="1"/>
  <c r="I16" i="1"/>
  <c r="I17" i="1" s="1"/>
  <c r="I15" i="1"/>
  <c r="I14" i="1"/>
  <c r="I13" i="1"/>
  <c r="I12" i="1"/>
  <c r="J198" i="1"/>
  <c r="H198" i="1"/>
  <c r="F198" i="1"/>
  <c r="E198" i="1"/>
  <c r="D198" i="1"/>
  <c r="C198" i="1"/>
  <c r="B198" i="1"/>
  <c r="J197" i="1"/>
  <c r="H197" i="1"/>
  <c r="F197" i="1"/>
  <c r="E197" i="1"/>
  <c r="D197" i="1"/>
  <c r="C197" i="1"/>
  <c r="B197" i="1"/>
  <c r="J183" i="1"/>
  <c r="H183" i="1"/>
  <c r="F183" i="1"/>
  <c r="E183" i="1"/>
  <c r="D183" i="1"/>
  <c r="C183" i="1"/>
  <c r="B183" i="1"/>
  <c r="J182" i="1"/>
  <c r="H182" i="1"/>
  <c r="F182" i="1"/>
  <c r="E182" i="1"/>
  <c r="D182" i="1"/>
  <c r="C182" i="1"/>
  <c r="B182" i="1"/>
  <c r="J168" i="1"/>
  <c r="H168" i="1"/>
  <c r="F168" i="1"/>
  <c r="E168" i="1"/>
  <c r="D168" i="1"/>
  <c r="C168" i="1"/>
  <c r="B168" i="1"/>
  <c r="J167" i="1"/>
  <c r="H167" i="1"/>
  <c r="F167" i="1"/>
  <c r="E167" i="1"/>
  <c r="D167" i="1"/>
  <c r="C167" i="1"/>
  <c r="B167" i="1"/>
  <c r="J153" i="1"/>
  <c r="H153" i="1"/>
  <c r="F153" i="1"/>
  <c r="E153" i="1"/>
  <c r="D153" i="1"/>
  <c r="C153" i="1"/>
  <c r="B153" i="1"/>
  <c r="J152" i="1"/>
  <c r="H152" i="1"/>
  <c r="F152" i="1"/>
  <c r="E152" i="1"/>
  <c r="D152" i="1"/>
  <c r="C152" i="1"/>
  <c r="B152" i="1"/>
  <c r="J138" i="1"/>
  <c r="H138" i="1"/>
  <c r="F138" i="1"/>
  <c r="E138" i="1"/>
  <c r="D138" i="1"/>
  <c r="C138" i="1"/>
  <c r="B138" i="1"/>
  <c r="J137" i="1"/>
  <c r="H137" i="1"/>
  <c r="F137" i="1"/>
  <c r="E137" i="1"/>
  <c r="D137" i="1"/>
  <c r="C137" i="1"/>
  <c r="B137" i="1"/>
  <c r="J123" i="1"/>
  <c r="H123" i="1"/>
  <c r="F123" i="1"/>
  <c r="E123" i="1"/>
  <c r="D123" i="1"/>
  <c r="C123" i="1"/>
  <c r="B123" i="1"/>
  <c r="J122" i="1"/>
  <c r="H122" i="1"/>
  <c r="F122" i="1"/>
  <c r="E122" i="1"/>
  <c r="D122" i="1"/>
  <c r="C122" i="1"/>
  <c r="B122" i="1"/>
  <c r="J108" i="1"/>
  <c r="H108" i="1"/>
  <c r="F108" i="1"/>
  <c r="E108" i="1"/>
  <c r="D108" i="1"/>
  <c r="C108" i="1"/>
  <c r="B108" i="1"/>
  <c r="J107" i="1"/>
  <c r="H107" i="1"/>
  <c r="F107" i="1"/>
  <c r="E107" i="1"/>
  <c r="D107" i="1"/>
  <c r="C107" i="1"/>
  <c r="B107" i="1"/>
  <c r="J93" i="1"/>
  <c r="H93" i="1"/>
  <c r="F93" i="1"/>
  <c r="E93" i="1"/>
  <c r="D93" i="1"/>
  <c r="C93" i="1"/>
  <c r="B93" i="1"/>
  <c r="J92" i="1"/>
  <c r="H92" i="1"/>
  <c r="F92" i="1"/>
  <c r="E92" i="1"/>
  <c r="D92" i="1"/>
  <c r="C92" i="1"/>
  <c r="B92" i="1"/>
  <c r="J78" i="1"/>
  <c r="H78" i="1"/>
  <c r="F78" i="1"/>
  <c r="E78" i="1"/>
  <c r="D78" i="1"/>
  <c r="C78" i="1"/>
  <c r="B78" i="1"/>
  <c r="J77" i="1"/>
  <c r="H77" i="1"/>
  <c r="F77" i="1"/>
  <c r="E77" i="1"/>
  <c r="D77" i="1"/>
  <c r="C77" i="1"/>
  <c r="B77" i="1"/>
  <c r="J63" i="1"/>
  <c r="H63" i="1"/>
  <c r="F63" i="1"/>
  <c r="E63" i="1"/>
  <c r="D63" i="1"/>
  <c r="C63" i="1"/>
  <c r="B63" i="1"/>
  <c r="J62" i="1"/>
  <c r="H62" i="1"/>
  <c r="F62" i="1"/>
  <c r="E62" i="1"/>
  <c r="D62" i="1"/>
  <c r="C62" i="1"/>
  <c r="B62" i="1"/>
  <c r="J48" i="1"/>
  <c r="H48" i="1"/>
  <c r="F48" i="1"/>
  <c r="E48" i="1"/>
  <c r="D48" i="1"/>
  <c r="C48" i="1"/>
  <c r="B48" i="1"/>
  <c r="J47" i="1"/>
  <c r="H47" i="1"/>
  <c r="F47" i="1"/>
  <c r="E47" i="1"/>
  <c r="D47" i="1"/>
  <c r="C47" i="1"/>
  <c r="B47" i="1"/>
  <c r="J33" i="1"/>
  <c r="H33" i="1"/>
  <c r="F33" i="1"/>
  <c r="E33" i="1"/>
  <c r="D33" i="1"/>
  <c r="C33" i="1"/>
  <c r="B33" i="1"/>
  <c r="J32" i="1"/>
  <c r="H32" i="1"/>
  <c r="F32" i="1"/>
  <c r="E32" i="1"/>
  <c r="D32" i="1"/>
  <c r="C32" i="1"/>
  <c r="B32" i="1"/>
  <c r="J18" i="1"/>
  <c r="H18" i="1"/>
  <c r="F18" i="1"/>
  <c r="E18" i="1"/>
  <c r="D18" i="1"/>
  <c r="C18" i="1"/>
  <c r="B18" i="1"/>
  <c r="K17" i="1"/>
  <c r="J17" i="1"/>
  <c r="H17" i="1"/>
  <c r="F17" i="1"/>
  <c r="E17" i="1"/>
  <c r="D17" i="1"/>
  <c r="C17" i="1"/>
  <c r="B17" i="1"/>
  <c r="K16" i="1"/>
  <c r="G16" i="1"/>
  <c r="K15" i="1"/>
  <c r="G15" i="1"/>
  <c r="K14" i="1"/>
  <c r="G14" i="1"/>
  <c r="K13" i="1"/>
  <c r="G13" i="1"/>
  <c r="K12" i="1"/>
  <c r="K18" i="1" s="1"/>
  <c r="G12" i="1"/>
  <c r="G17" i="1" s="1"/>
  <c r="G180" i="1" l="1"/>
  <c r="K164" i="1"/>
  <c r="G134" i="1"/>
  <c r="K118" i="1"/>
  <c r="G88" i="1"/>
  <c r="K76" i="1"/>
  <c r="K72" i="1"/>
  <c r="G46" i="1"/>
  <c r="G42" i="1"/>
  <c r="K30" i="1"/>
  <c r="G166" i="1"/>
  <c r="G195" i="1"/>
  <c r="K179" i="1"/>
  <c r="G149" i="1"/>
  <c r="K133" i="1"/>
  <c r="G103" i="1"/>
  <c r="K91" i="1"/>
  <c r="K87" i="1"/>
  <c r="G61" i="1"/>
  <c r="G57" i="1"/>
  <c r="K45" i="1"/>
  <c r="K58" i="1"/>
  <c r="G135" i="1"/>
  <c r="K27" i="1"/>
  <c r="G104" i="1"/>
  <c r="K194" i="1"/>
  <c r="G164" i="1"/>
  <c r="K148" i="1"/>
  <c r="G118" i="1"/>
  <c r="K106" i="1"/>
  <c r="K102" i="1"/>
  <c r="G76" i="1"/>
  <c r="G72" i="1"/>
  <c r="K60" i="1"/>
  <c r="G30" i="1"/>
  <c r="G28" i="1"/>
  <c r="G179" i="1"/>
  <c r="K163" i="1"/>
  <c r="G133" i="1"/>
  <c r="K121" i="1"/>
  <c r="K117" i="1"/>
  <c r="G91" i="1"/>
  <c r="G87" i="1"/>
  <c r="K75" i="1"/>
  <c r="G45" i="1"/>
  <c r="K29" i="1"/>
  <c r="G74" i="1"/>
  <c r="K165" i="1"/>
  <c r="K119" i="1"/>
  <c r="G89" i="1"/>
  <c r="G192" i="1"/>
  <c r="G194" i="1"/>
  <c r="K178" i="1"/>
  <c r="G148" i="1"/>
  <c r="K136" i="1"/>
  <c r="K132" i="1"/>
  <c r="G106" i="1"/>
  <c r="G102" i="1"/>
  <c r="K90" i="1"/>
  <c r="G60" i="1"/>
  <c r="K44" i="1"/>
  <c r="G177" i="1"/>
  <c r="K31" i="1"/>
  <c r="K193" i="1"/>
  <c r="G163" i="1"/>
  <c r="K151" i="1"/>
  <c r="K147" i="1"/>
  <c r="G121" i="1"/>
  <c r="G117" i="1"/>
  <c r="K105" i="1"/>
  <c r="G75" i="1"/>
  <c r="K59" i="1"/>
  <c r="G29" i="1"/>
  <c r="K192" i="1"/>
  <c r="G162" i="1"/>
  <c r="G120" i="1"/>
  <c r="G178" i="1"/>
  <c r="K166" i="1"/>
  <c r="K162" i="1"/>
  <c r="G136" i="1"/>
  <c r="G132" i="1"/>
  <c r="K120" i="1"/>
  <c r="G90" i="1"/>
  <c r="K74" i="1"/>
  <c r="G44" i="1"/>
  <c r="K28" i="1"/>
  <c r="K196" i="1"/>
  <c r="K150" i="1"/>
  <c r="K104" i="1"/>
  <c r="G150" i="1"/>
  <c r="K134" i="1"/>
  <c r="K88" i="1"/>
  <c r="G58" i="1"/>
  <c r="K42" i="1"/>
  <c r="G193" i="1"/>
  <c r="K181" i="1"/>
  <c r="K177" i="1"/>
  <c r="G151" i="1"/>
  <c r="G147" i="1"/>
  <c r="K135" i="1"/>
  <c r="G105" i="1"/>
  <c r="K89" i="1"/>
  <c r="G59" i="1"/>
  <c r="K43" i="1"/>
  <c r="K180" i="1"/>
  <c r="K46" i="1"/>
  <c r="K195" i="1"/>
  <c r="G165" i="1"/>
  <c r="K149" i="1"/>
  <c r="G119" i="1"/>
  <c r="K103" i="1"/>
  <c r="G73" i="1"/>
  <c r="K61" i="1"/>
  <c r="K57" i="1"/>
  <c r="G31" i="1"/>
  <c r="G27" i="1"/>
  <c r="G181" i="1"/>
  <c r="K73" i="1"/>
  <c r="G43" i="1"/>
  <c r="G196" i="1"/>
  <c r="G18" i="1"/>
  <c r="I18" i="1"/>
  <c r="G62" i="1" l="1"/>
  <c r="G63" i="1"/>
  <c r="K138" i="1"/>
  <c r="K137" i="1"/>
  <c r="K168" i="1"/>
  <c r="K167" i="1"/>
  <c r="K107" i="1"/>
  <c r="K108" i="1"/>
  <c r="K77" i="1"/>
  <c r="K78" i="1"/>
  <c r="G182" i="1"/>
  <c r="G183" i="1"/>
  <c r="K47" i="1"/>
  <c r="K48" i="1"/>
  <c r="I47" i="1"/>
  <c r="I48" i="1"/>
  <c r="I138" i="1"/>
  <c r="I137" i="1"/>
  <c r="G197" i="1"/>
  <c r="G198" i="1"/>
  <c r="I32" i="1"/>
  <c r="I33" i="1"/>
  <c r="G167" i="1"/>
  <c r="G168" i="1"/>
  <c r="I77" i="1"/>
  <c r="I78" i="1"/>
  <c r="I168" i="1"/>
  <c r="I167" i="1"/>
  <c r="I92" i="1"/>
  <c r="I93" i="1"/>
  <c r="I183" i="1"/>
  <c r="I182" i="1"/>
  <c r="G32" i="1"/>
  <c r="G33" i="1"/>
  <c r="K62" i="1"/>
  <c r="K63" i="1"/>
  <c r="G138" i="1"/>
  <c r="G137" i="1"/>
  <c r="K153" i="1"/>
  <c r="K152" i="1"/>
  <c r="G107" i="1"/>
  <c r="G108" i="1"/>
  <c r="K122" i="1"/>
  <c r="K123" i="1"/>
  <c r="K182" i="1"/>
  <c r="K183" i="1"/>
  <c r="G122" i="1"/>
  <c r="G123" i="1"/>
  <c r="G93" i="1"/>
  <c r="G92" i="1"/>
  <c r="I108" i="1"/>
  <c r="I107" i="1"/>
  <c r="G153" i="1"/>
  <c r="G152" i="1"/>
  <c r="I197" i="1"/>
  <c r="I198" i="1"/>
  <c r="K198" i="1"/>
  <c r="K197" i="1"/>
  <c r="G77" i="1"/>
  <c r="G78" i="1"/>
  <c r="K92" i="1"/>
  <c r="K93" i="1"/>
  <c r="G47" i="1"/>
  <c r="G48" i="1"/>
  <c r="I62" i="1"/>
  <c r="I63" i="1"/>
  <c r="I152" i="1"/>
  <c r="I153" i="1"/>
  <c r="I122" i="1"/>
  <c r="I123" i="1"/>
  <c r="K33" i="1"/>
  <c r="K32" i="1"/>
</calcChain>
</file>

<file path=xl/sharedStrings.xml><?xml version="1.0" encoding="utf-8"?>
<sst xmlns="http://schemas.openxmlformats.org/spreadsheetml/2006/main" count="435" uniqueCount="48">
  <si>
    <t>Flexion 3 points</t>
  </si>
  <si>
    <t>(mm)</t>
  </si>
  <si>
    <t>(N)</t>
  </si>
  <si>
    <t>(N/mm)</t>
  </si>
  <si>
    <t>Longueur 2</t>
  </si>
  <si>
    <t>épaisseur</t>
  </si>
  <si>
    <t>Dimensions biscuit</t>
  </si>
  <si>
    <t>Masse</t>
  </si>
  <si>
    <t>(g)</t>
  </si>
  <si>
    <t>(kN/m2)</t>
  </si>
  <si>
    <t>(%)</t>
  </si>
  <si>
    <t>Module Young</t>
  </si>
  <si>
    <t>(MN/m2)</t>
  </si>
  <si>
    <t>distance écartement entre les montants du banc flexion 3pt (mm)</t>
  </si>
  <si>
    <t>Fr</t>
  </si>
  <si>
    <t>σr</t>
  </si>
  <si>
    <t>yR</t>
  </si>
  <si>
    <t>contrainte à 
la rupture</t>
  </si>
  <si>
    <t>force à 
la rupture</t>
  </si>
  <si>
    <t>déformation à 
la rupture</t>
  </si>
  <si>
    <t>distance à 
la rupture</t>
  </si>
  <si>
    <t>ɛr</t>
  </si>
  <si>
    <t>pente à 
la rupture</t>
  </si>
  <si>
    <t>(dF/dy)</t>
  </si>
  <si>
    <t>Longueur 1*</t>
  </si>
  <si>
    <t>vitesse de la traverse (mm/s)</t>
  </si>
  <si>
    <t>Ey</t>
  </si>
  <si>
    <t>* La longueur 1 correspond à la longueur  du biscuit parallèle à celle de la distance d'écartement entre les 2 montants du banc de flexion 3 points</t>
  </si>
  <si>
    <t>Poudre levante 13 min</t>
  </si>
  <si>
    <t>Poudre levante 11min30</t>
  </si>
  <si>
    <t>Poudre levante 10min</t>
  </si>
  <si>
    <t>Poudre levante 14min30</t>
  </si>
  <si>
    <t>Date Manip</t>
  </si>
  <si>
    <t>Nombre de données par groupe</t>
  </si>
  <si>
    <t>Expérimentateurs.trices</t>
  </si>
  <si>
    <t>John Doe, Miss Marple</t>
  </si>
  <si>
    <t>Nombre de groupe de données</t>
  </si>
  <si>
    <t>Poudre de lait 15min30</t>
  </si>
  <si>
    <t>moyenne</t>
  </si>
  <si>
    <t>écart type</t>
  </si>
  <si>
    <t>Poudre de lait 18min30</t>
  </si>
  <si>
    <t>Poudre de lait 14min</t>
  </si>
  <si>
    <t>Poudre de lait 17min</t>
  </si>
  <si>
    <t>Temoin 11min15</t>
  </si>
  <si>
    <t>Temoin 10min</t>
  </si>
  <si>
    <t>Temoin 14min</t>
  </si>
  <si>
    <t>COM 1</t>
  </si>
  <si>
    <t>COM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</si>
</sst>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i/>
      <sz val="11"/>
      <color rgb="FF0000FF"/>
      <name val="Calibri"/>
      <family val="2"/>
      <scheme val="minor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/>
    <xf numFmtId="2" fontId="6" fillId="3" borderId="8" xfId="0" applyNumberFormat="1" applyFont="1" applyFill="1" applyBorder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164" fontId="3" fillId="4" borderId="6" xfId="0" applyNumberFormat="1" applyFont="1" applyFill="1" applyBorder="1" applyAlignment="1">
      <alignment horizontal="center" vertical="center"/>
    </xf>
    <xf numFmtId="165" fontId="3" fillId="4" borderId="6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0" fillId="0" borderId="0" xfId="0" applyNumberFormat="1"/>
    <xf numFmtId="2" fontId="2" fillId="5" borderId="5" xfId="0" applyNumberFormat="1" applyFont="1" applyFill="1" applyBorder="1" applyAlignment="1">
      <alignment horizontal="center" vertical="center"/>
    </xf>
    <xf numFmtId="2" fontId="3" fillId="5" borderId="7" xfId="0" applyNumberFormat="1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9" fontId="3" fillId="5" borderId="6" xfId="1" applyFont="1" applyFill="1" applyBorder="1" applyAlignment="1">
      <alignment horizontal="center" vertical="center"/>
    </xf>
    <xf numFmtId="2" fontId="2" fillId="5" borderId="21" xfId="0" applyNumberFormat="1" applyFont="1" applyFill="1" applyBorder="1" applyAlignment="1">
      <alignment horizontal="center" vertical="center"/>
    </xf>
    <xf numFmtId="2" fontId="3" fillId="5" borderId="22" xfId="0" applyNumberFormat="1" applyFont="1" applyFill="1" applyBorder="1" applyAlignment="1">
      <alignment horizontal="center" vertical="center"/>
    </xf>
    <xf numFmtId="2" fontId="3" fillId="5" borderId="21" xfId="0" applyNumberFormat="1" applyFont="1" applyFill="1" applyBorder="1" applyAlignment="1">
      <alignment horizontal="center" vertical="center"/>
    </xf>
    <xf numFmtId="2" fontId="3" fillId="5" borderId="23" xfId="0" applyNumberFormat="1" applyFont="1" applyFill="1" applyBorder="1" applyAlignment="1">
      <alignment horizontal="center" vertical="center"/>
    </xf>
    <xf numFmtId="2" fontId="3" fillId="5" borderId="24" xfId="0" applyNumberFormat="1" applyFont="1" applyFill="1" applyBorder="1" applyAlignment="1">
      <alignment horizontal="center" vertical="center"/>
    </xf>
    <xf numFmtId="9" fontId="3" fillId="5" borderId="23" xfId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FF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6FC49-4F3D-428F-B66D-0D1596EC1F94}">
  <dimension ref="A1:K198"/>
  <sheetViews>
    <sheetView tabSelected="1" zoomScale="85" zoomScaleNormal="85" workbookViewId="0">
      <selection activeCell="C4" sqref="C4"/>
    </sheetView>
  </sheetViews>
  <sheetFormatPr baseColWidth="10" defaultRowHeight="15" x14ac:dyDescent="0.25"/>
  <cols>
    <col min="1" max="1" width="24.42578125" customWidth="1"/>
    <col min="2" max="2" width="17.7109375" customWidth="1"/>
    <col min="3" max="4" width="12.7109375" customWidth="1"/>
    <col min="6" max="11" width="13.7109375" customWidth="1"/>
  </cols>
  <sheetData>
    <row r="1" spans="1:11" x14ac:dyDescent="0.25">
      <c r="A1" t="s">
        <v>32</v>
      </c>
      <c r="C1" s="34">
        <v>45889</v>
      </c>
    </row>
    <row r="2" spans="1:11" x14ac:dyDescent="0.25">
      <c r="A2" t="s">
        <v>33</v>
      </c>
      <c r="C2">
        <v>5</v>
      </c>
    </row>
    <row r="3" spans="1:11" x14ac:dyDescent="0.25">
      <c r="A3" t="s">
        <v>36</v>
      </c>
      <c r="C3">
        <v>13</v>
      </c>
    </row>
    <row r="4" spans="1:11" x14ac:dyDescent="0.25">
      <c r="A4" t="s">
        <v>34</v>
      </c>
      <c r="C4" t="s">
        <v>35</v>
      </c>
    </row>
    <row r="5" spans="1:11" ht="15.75" thickBot="1" x14ac:dyDescent="0.3"/>
    <row r="6" spans="1:11" x14ac:dyDescent="0.25">
      <c r="A6" s="16" t="s">
        <v>28</v>
      </c>
      <c r="B6" s="14" t="s">
        <v>7</v>
      </c>
      <c r="C6" s="16" t="s">
        <v>6</v>
      </c>
      <c r="D6" s="19"/>
      <c r="E6" s="20"/>
      <c r="F6" s="16" t="s">
        <v>0</v>
      </c>
      <c r="G6" s="19"/>
      <c r="H6" s="19"/>
      <c r="I6" s="19"/>
      <c r="J6" s="19"/>
      <c r="K6" s="20"/>
    </row>
    <row r="7" spans="1:11" x14ac:dyDescent="0.25">
      <c r="A7" s="17"/>
      <c r="B7" s="15"/>
      <c r="C7" s="17"/>
      <c r="D7" s="18"/>
      <c r="E7" s="21"/>
      <c r="F7" s="17" t="s">
        <v>13</v>
      </c>
      <c r="G7" s="18"/>
      <c r="H7" s="18"/>
      <c r="I7" s="18"/>
      <c r="J7" s="18"/>
      <c r="K7" s="10">
        <v>43.5</v>
      </c>
    </row>
    <row r="8" spans="1:11" x14ac:dyDescent="0.25">
      <c r="A8" s="17"/>
      <c r="B8" s="15"/>
      <c r="C8" s="22" t="s">
        <v>24</v>
      </c>
      <c r="D8" s="25" t="s">
        <v>4</v>
      </c>
      <c r="E8" s="28" t="s">
        <v>5</v>
      </c>
      <c r="F8" s="31" t="s">
        <v>25</v>
      </c>
      <c r="G8" s="32"/>
      <c r="H8" s="32"/>
      <c r="I8" s="32"/>
      <c r="J8" s="33"/>
      <c r="K8" s="11">
        <v>0.2</v>
      </c>
    </row>
    <row r="9" spans="1:11" ht="25.5" x14ac:dyDescent="0.25">
      <c r="A9" s="17"/>
      <c r="B9" s="15"/>
      <c r="C9" s="23"/>
      <c r="D9" s="26"/>
      <c r="E9" s="29"/>
      <c r="F9" s="7" t="s">
        <v>18</v>
      </c>
      <c r="G9" s="8" t="s">
        <v>17</v>
      </c>
      <c r="H9" s="8" t="s">
        <v>20</v>
      </c>
      <c r="I9" s="8" t="s">
        <v>19</v>
      </c>
      <c r="J9" s="8" t="s">
        <v>22</v>
      </c>
      <c r="K9" s="4" t="s">
        <v>11</v>
      </c>
    </row>
    <row r="10" spans="1:11" x14ac:dyDescent="0.25">
      <c r="A10" s="17"/>
      <c r="B10" s="15"/>
      <c r="C10" s="24"/>
      <c r="D10" s="27"/>
      <c r="E10" s="30"/>
      <c r="F10" s="1" t="s">
        <v>14</v>
      </c>
      <c r="G10" s="2" t="s">
        <v>15</v>
      </c>
      <c r="H10" s="2" t="s">
        <v>16</v>
      </c>
      <c r="I10" s="2" t="s">
        <v>21</v>
      </c>
      <c r="J10" s="2" t="s">
        <v>23</v>
      </c>
      <c r="K10" s="4" t="s">
        <v>26</v>
      </c>
    </row>
    <row r="11" spans="1:11" x14ac:dyDescent="0.25">
      <c r="A11" s="17"/>
      <c r="B11" s="3" t="s">
        <v>8</v>
      </c>
      <c r="C11" s="1" t="s">
        <v>1</v>
      </c>
      <c r="D11" s="2" t="s">
        <v>1</v>
      </c>
      <c r="E11" s="4" t="s">
        <v>1</v>
      </c>
      <c r="F11" s="1" t="s">
        <v>2</v>
      </c>
      <c r="G11" s="2" t="s">
        <v>9</v>
      </c>
      <c r="H11" s="2" t="s">
        <v>1</v>
      </c>
      <c r="I11" s="2" t="s">
        <v>10</v>
      </c>
      <c r="J11" s="2" t="s">
        <v>3</v>
      </c>
      <c r="K11" s="4" t="s">
        <v>12</v>
      </c>
    </row>
    <row r="12" spans="1:11" x14ac:dyDescent="0.25">
      <c r="A12" s="5">
        <v>1</v>
      </c>
      <c r="B12" s="6"/>
      <c r="C12" s="6">
        <v>80.3</v>
      </c>
      <c r="D12" s="6">
        <v>79.400000000000006</v>
      </c>
      <c r="E12" s="6">
        <v>11.5</v>
      </c>
      <c r="F12" s="6">
        <v>17.100000000000001</v>
      </c>
      <c r="G12" s="12">
        <f>(3*F12*$K$3/1000)/((2*(C12/1000)*((E12/1000)^2)))/1000</f>
        <v>0</v>
      </c>
      <c r="H12" s="6">
        <v>1.22</v>
      </c>
      <c r="I12" s="13">
        <f>(6*(E12/1000)*(H12/1000))/(($K$7/1000)^2)</f>
        <v>4.4486722156163297E-2</v>
      </c>
      <c r="J12" s="6">
        <v>5.7</v>
      </c>
      <c r="K12" s="12">
        <f>((($K$3/1000)^3)*(J12*1000))/(4*(C12/1000)*((E12/1000)^3))/1000000</f>
        <v>0</v>
      </c>
    </row>
    <row r="13" spans="1:11" x14ac:dyDescent="0.25">
      <c r="A13" s="5">
        <v>2</v>
      </c>
      <c r="B13" s="6"/>
      <c r="C13" s="6">
        <v>77.47</v>
      </c>
      <c r="D13" s="6">
        <v>77.069999999999993</v>
      </c>
      <c r="E13" s="6">
        <v>12.53</v>
      </c>
      <c r="F13" s="6">
        <v>19.100000000000001</v>
      </c>
      <c r="G13" s="12">
        <f>(3*F13*$K$3/1000)/((2*(C13/1000)*((E13/1000)^2)))/1000</f>
        <v>0</v>
      </c>
      <c r="H13" s="6">
        <v>1.5</v>
      </c>
      <c r="I13" s="13">
        <f t="shared" ref="I13:I16" si="0">(6*(E13/1000)*(H13/1000))/(($K$7/1000)^2)</f>
        <v>5.9595719381688471E-2</v>
      </c>
      <c r="J13" s="6">
        <v>4.8</v>
      </c>
      <c r="K13" s="12">
        <f>((($K$3/1000)^3)*(J13*1000))/(4*(C13/1000)*((E13/1000)^3))/1000000</f>
        <v>0</v>
      </c>
    </row>
    <row r="14" spans="1:11" x14ac:dyDescent="0.25">
      <c r="A14" s="5">
        <v>3</v>
      </c>
      <c r="B14" s="6"/>
      <c r="C14" s="6">
        <v>79.55</v>
      </c>
      <c r="D14" s="6">
        <v>77.42</v>
      </c>
      <c r="E14" s="6">
        <v>11.34</v>
      </c>
      <c r="F14" s="6">
        <v>19.100000000000001</v>
      </c>
      <c r="G14" s="12">
        <f>(3*F14*$K$3/1000)/((2*(C14/1000)*((E14/1000)^2)))/1000</f>
        <v>0</v>
      </c>
      <c r="H14" s="6">
        <v>1.24</v>
      </c>
      <c r="I14" s="13">
        <f t="shared" si="0"/>
        <v>4.4586920332936979E-2</v>
      </c>
      <c r="J14" s="6">
        <v>4.3</v>
      </c>
      <c r="K14" s="12">
        <f>((($K$3/1000)^3)*(J14*1000))/(4*(C14/1000)*((E14/1000)^3))/1000000</f>
        <v>0</v>
      </c>
    </row>
    <row r="15" spans="1:11" x14ac:dyDescent="0.25">
      <c r="A15" s="5">
        <v>4</v>
      </c>
      <c r="B15" s="6"/>
      <c r="C15" s="6">
        <v>75.92</v>
      </c>
      <c r="D15" s="6">
        <v>71.010000000000005</v>
      </c>
      <c r="E15" s="6">
        <v>12.13</v>
      </c>
      <c r="F15" s="6">
        <v>17.600000000000001</v>
      </c>
      <c r="G15" s="12">
        <f>(3*F15*$K$3/1000)/((2*(C15/1000)*((E15/1000)^2)))/1000</f>
        <v>0</v>
      </c>
      <c r="H15" s="6">
        <v>1.41</v>
      </c>
      <c r="I15" s="13">
        <f t="shared" si="0"/>
        <v>5.4231629013079673E-2</v>
      </c>
      <c r="J15" s="6">
        <v>3.8</v>
      </c>
      <c r="K15" s="12">
        <f>((($K$3/1000)^3)*(J15*1000))/(4*(C15/1000)*((E15/1000)^3))/1000000</f>
        <v>0</v>
      </c>
    </row>
    <row r="16" spans="1:11" x14ac:dyDescent="0.25">
      <c r="A16" s="5">
        <v>5</v>
      </c>
      <c r="B16" s="6"/>
      <c r="C16" s="6">
        <v>76.150000000000006</v>
      </c>
      <c r="D16" s="6">
        <v>74.61</v>
      </c>
      <c r="E16" s="6">
        <v>12.67</v>
      </c>
      <c r="F16" s="6">
        <v>15.5</v>
      </c>
      <c r="G16" s="12">
        <f>(3*F16*$K$3/1000)/((2*(C16/1000)*((E16/1000)^2)))/1000</f>
        <v>0</v>
      </c>
      <c r="H16" s="6">
        <v>1.42</v>
      </c>
      <c r="I16" s="13">
        <f t="shared" si="0"/>
        <v>5.7047641696393182E-2</v>
      </c>
      <c r="J16" s="6">
        <v>3.1</v>
      </c>
      <c r="K16" s="12">
        <f>((($K$3/1000)^3)*(J16*1000))/(4*(C16/1000)*((E16/1000)^3))/1000000</f>
        <v>0</v>
      </c>
    </row>
    <row r="17" spans="1:11" x14ac:dyDescent="0.25">
      <c r="A17" s="35" t="s">
        <v>38</v>
      </c>
      <c r="B17" s="36" t="e">
        <f t="shared" ref="B17:K17" si="1">AVERAGE(B12:B16)</f>
        <v>#DIV/0!</v>
      </c>
      <c r="C17" s="37">
        <f t="shared" si="1"/>
        <v>77.878</v>
      </c>
      <c r="D17" s="38">
        <f t="shared" si="1"/>
        <v>75.902000000000001</v>
      </c>
      <c r="E17" s="39">
        <f t="shared" si="1"/>
        <v>12.034000000000002</v>
      </c>
      <c r="F17" s="37">
        <f t="shared" si="1"/>
        <v>17.68</v>
      </c>
      <c r="G17" s="38">
        <f t="shared" si="1"/>
        <v>0</v>
      </c>
      <c r="H17" s="38">
        <f t="shared" si="1"/>
        <v>1.3580000000000001</v>
      </c>
      <c r="I17" s="40">
        <f t="shared" si="1"/>
        <v>5.1989726516052326E-2</v>
      </c>
      <c r="J17" s="38">
        <f t="shared" si="1"/>
        <v>4.3400000000000007</v>
      </c>
      <c r="K17" s="39">
        <f t="shared" si="1"/>
        <v>0</v>
      </c>
    </row>
    <row r="18" spans="1:11" ht="15.75" thickBot="1" x14ac:dyDescent="0.3">
      <c r="A18" s="41" t="s">
        <v>39</v>
      </c>
      <c r="B18" s="42" t="e">
        <f t="shared" ref="B18:K18" si="2">STDEV(B12:B16)</f>
        <v>#DIV/0!</v>
      </c>
      <c r="C18" s="43">
        <f t="shared" si="2"/>
        <v>1.9778700665109394</v>
      </c>
      <c r="D18" s="44">
        <f t="shared" si="2"/>
        <v>3.2212373399052727</v>
      </c>
      <c r="E18" s="45">
        <f t="shared" si="2"/>
        <v>0.59718506344348554</v>
      </c>
      <c r="F18" s="43">
        <f t="shared" si="2"/>
        <v>1.5106290080625362</v>
      </c>
      <c r="G18" s="44">
        <f t="shared" si="2"/>
        <v>0</v>
      </c>
      <c r="H18" s="44">
        <f t="shared" si="2"/>
        <v>0.12214745187681976</v>
      </c>
      <c r="I18" s="46">
        <f t="shared" si="2"/>
        <v>7.0632211854629832E-3</v>
      </c>
      <c r="J18" s="44">
        <f t="shared" si="2"/>
        <v>0.98640762365261137</v>
      </c>
      <c r="K18" s="45">
        <f t="shared" si="2"/>
        <v>0</v>
      </c>
    </row>
    <row r="20" spans="1:11" ht="15.75" thickBot="1" x14ac:dyDescent="0.3"/>
    <row r="21" spans="1:11" x14ac:dyDescent="0.25">
      <c r="A21" s="16" t="s">
        <v>29</v>
      </c>
      <c r="B21" s="14" t="s">
        <v>7</v>
      </c>
      <c r="C21" s="16" t="s">
        <v>6</v>
      </c>
      <c r="D21" s="19"/>
      <c r="E21" s="20"/>
      <c r="F21" s="16" t="s">
        <v>0</v>
      </c>
      <c r="G21" s="19"/>
      <c r="H21" s="19"/>
      <c r="I21" s="19"/>
      <c r="J21" s="19"/>
      <c r="K21" s="20"/>
    </row>
    <row r="22" spans="1:11" x14ac:dyDescent="0.25">
      <c r="A22" s="17"/>
      <c r="B22" s="15"/>
      <c r="C22" s="17"/>
      <c r="D22" s="18"/>
      <c r="E22" s="21"/>
      <c r="F22" s="17" t="s">
        <v>13</v>
      </c>
      <c r="G22" s="18"/>
      <c r="H22" s="18"/>
      <c r="I22" s="18"/>
      <c r="J22" s="18"/>
      <c r="K22" s="10">
        <v>43.5</v>
      </c>
    </row>
    <row r="23" spans="1:11" x14ac:dyDescent="0.25">
      <c r="A23" s="17"/>
      <c r="B23" s="15"/>
      <c r="C23" s="22" t="s">
        <v>24</v>
      </c>
      <c r="D23" s="25" t="s">
        <v>4</v>
      </c>
      <c r="E23" s="28" t="s">
        <v>5</v>
      </c>
      <c r="F23" s="31" t="s">
        <v>25</v>
      </c>
      <c r="G23" s="32"/>
      <c r="H23" s="32"/>
      <c r="I23" s="32"/>
      <c r="J23" s="33"/>
      <c r="K23" s="11">
        <v>0.2</v>
      </c>
    </row>
    <row r="24" spans="1:11" ht="25.5" x14ac:dyDescent="0.25">
      <c r="A24" s="17"/>
      <c r="B24" s="15"/>
      <c r="C24" s="23"/>
      <c r="D24" s="26"/>
      <c r="E24" s="29"/>
      <c r="F24" s="7" t="s">
        <v>18</v>
      </c>
      <c r="G24" s="8" t="s">
        <v>17</v>
      </c>
      <c r="H24" s="8" t="s">
        <v>20</v>
      </c>
      <c r="I24" s="8" t="s">
        <v>19</v>
      </c>
      <c r="J24" s="8" t="s">
        <v>22</v>
      </c>
      <c r="K24" s="4" t="s">
        <v>11</v>
      </c>
    </row>
    <row r="25" spans="1:11" x14ac:dyDescent="0.25">
      <c r="A25" s="17"/>
      <c r="B25" s="15"/>
      <c r="C25" s="24"/>
      <c r="D25" s="27"/>
      <c r="E25" s="30"/>
      <c r="F25" s="1" t="s">
        <v>14</v>
      </c>
      <c r="G25" s="2" t="s">
        <v>15</v>
      </c>
      <c r="H25" s="2" t="s">
        <v>16</v>
      </c>
      <c r="I25" s="2" t="s">
        <v>21</v>
      </c>
      <c r="J25" s="2" t="s">
        <v>23</v>
      </c>
      <c r="K25" s="4" t="s">
        <v>26</v>
      </c>
    </row>
    <row r="26" spans="1:11" x14ac:dyDescent="0.25">
      <c r="A26" s="17"/>
      <c r="B26" s="3" t="s">
        <v>8</v>
      </c>
      <c r="C26" s="1" t="s">
        <v>1</v>
      </c>
      <c r="D26" s="2" t="s">
        <v>1</v>
      </c>
      <c r="E26" s="4" t="s">
        <v>1</v>
      </c>
      <c r="F26" s="1" t="s">
        <v>2</v>
      </c>
      <c r="G26" s="2" t="s">
        <v>9</v>
      </c>
      <c r="H26" s="2" t="s">
        <v>1</v>
      </c>
      <c r="I26" s="2" t="s">
        <v>10</v>
      </c>
      <c r="J26" s="2" t="s">
        <v>3</v>
      </c>
      <c r="K26" s="4" t="s">
        <v>12</v>
      </c>
    </row>
    <row r="27" spans="1:11" x14ac:dyDescent="0.25">
      <c r="A27" s="5">
        <v>1</v>
      </c>
      <c r="B27" s="6"/>
      <c r="C27" s="6">
        <v>81.97</v>
      </c>
      <c r="D27" s="6">
        <v>79.45</v>
      </c>
      <c r="E27" s="6">
        <v>11.08</v>
      </c>
      <c r="F27" s="6">
        <v>18.899999999999999</v>
      </c>
      <c r="G27" s="12">
        <f>(3*F27*$K$18/1000)/((2*(C27/1000)*((E27/1000)^2)))/1000</f>
        <v>0</v>
      </c>
      <c r="H27" s="6">
        <v>2.5299999999999998</v>
      </c>
      <c r="I27" s="13">
        <f>(6*(E27/1000)*(H27/1000))/(($K$22/1000)^2)</f>
        <v>8.8885929449068563E-2</v>
      </c>
      <c r="J27" s="6">
        <v>1.8</v>
      </c>
      <c r="K27" s="12">
        <f>((($K$18/1000)^3)*(J27*1000))/(4*(C27/1000)*((E27/1000)^3))/1000000</f>
        <v>0</v>
      </c>
    </row>
    <row r="28" spans="1:11" x14ac:dyDescent="0.25">
      <c r="A28" s="5">
        <v>2</v>
      </c>
      <c r="B28" s="6"/>
      <c r="C28" s="6">
        <v>80.09</v>
      </c>
      <c r="D28" s="6">
        <v>78.23</v>
      </c>
      <c r="E28" s="6">
        <v>11.71</v>
      </c>
      <c r="F28" s="6">
        <v>18.399999999999999</v>
      </c>
      <c r="G28" s="12">
        <f>(3*F28*$K$18/1000)/((2*(C28/1000)*((E28/1000)^2)))/1000</f>
        <v>0</v>
      </c>
      <c r="H28" s="6">
        <v>1.48</v>
      </c>
      <c r="I28" s="13">
        <f t="shared" ref="I28:I31" si="3">(6*(E28/1000)*(H28/1000))/(($K$22/1000)^2)</f>
        <v>5.4952992469282619E-2</v>
      </c>
      <c r="J28" s="6">
        <v>4.2</v>
      </c>
      <c r="K28" s="12">
        <f>((($K$18/1000)^3)*(J28*1000))/(4*(C28/1000)*((E28/1000)^3))/1000000</f>
        <v>0</v>
      </c>
    </row>
    <row r="29" spans="1:11" x14ac:dyDescent="0.25">
      <c r="A29" s="5">
        <v>3</v>
      </c>
      <c r="B29" s="6"/>
      <c r="C29" s="6">
        <v>75.400000000000006</v>
      </c>
      <c r="D29" s="6">
        <v>74.36</v>
      </c>
      <c r="E29" s="6">
        <v>11.04</v>
      </c>
      <c r="F29" s="6">
        <v>11.27</v>
      </c>
      <c r="G29" s="12">
        <f>(3*F29*$K$18/1000)/((2*(C29/1000)*((E29/1000)^2)))/1000</f>
        <v>0</v>
      </c>
      <c r="H29" s="6">
        <v>1.42</v>
      </c>
      <c r="I29" s="13">
        <f t="shared" si="3"/>
        <v>4.970844233055885E-2</v>
      </c>
      <c r="J29" s="6">
        <v>1.8</v>
      </c>
      <c r="K29" s="12">
        <f>((($K$18/1000)^3)*(J29*1000))/(4*(C29/1000)*((E29/1000)^3))/1000000</f>
        <v>0</v>
      </c>
    </row>
    <row r="30" spans="1:11" x14ac:dyDescent="0.25">
      <c r="A30" s="5">
        <v>4</v>
      </c>
      <c r="B30" s="6"/>
      <c r="C30" s="6">
        <v>79.150000000000006</v>
      </c>
      <c r="D30" s="6">
        <v>78.47</v>
      </c>
      <c r="E30" s="6">
        <v>11.79</v>
      </c>
      <c r="F30" s="6">
        <v>17.010000000000002</v>
      </c>
      <c r="G30" s="12">
        <f>(3*F30*$K$18/1000)/((2*(C30/1000)*((E30/1000)^2)))/1000</f>
        <v>0</v>
      </c>
      <c r="H30" s="6">
        <v>1.41</v>
      </c>
      <c r="I30" s="13">
        <f t="shared" si="3"/>
        <v>5.2711533888228301E-2</v>
      </c>
      <c r="J30" s="6">
        <v>2.8</v>
      </c>
      <c r="K30" s="12">
        <f>((($K$18/1000)^3)*(J30*1000))/(4*(C30/1000)*((E30/1000)^3))/1000000</f>
        <v>0</v>
      </c>
    </row>
    <row r="31" spans="1:11" x14ac:dyDescent="0.25">
      <c r="A31" s="5">
        <v>5</v>
      </c>
      <c r="B31" s="6"/>
      <c r="C31" s="6">
        <v>79.88</v>
      </c>
      <c r="D31" s="6">
        <v>78.5</v>
      </c>
      <c r="E31" s="6">
        <v>12.15</v>
      </c>
      <c r="F31" s="6">
        <v>20.09</v>
      </c>
      <c r="G31" s="12">
        <f>(3*F31*$K$18/1000)/((2*(C31/1000)*((E31/1000)^2)))/1000</f>
        <v>0</v>
      </c>
      <c r="H31" s="6">
        <v>1.92</v>
      </c>
      <c r="I31" s="13">
        <f t="shared" si="3"/>
        <v>7.3969084423305589E-2</v>
      </c>
      <c r="J31" s="6">
        <v>5.0999999999999996</v>
      </c>
      <c r="K31" s="12">
        <f>((($K$18/1000)^3)*(J31*1000))/(4*(C31/1000)*((E31/1000)^3))/1000000</f>
        <v>0</v>
      </c>
    </row>
    <row r="32" spans="1:11" x14ac:dyDescent="0.25">
      <c r="A32" s="35" t="s">
        <v>38</v>
      </c>
      <c r="B32" s="36" t="e">
        <f t="shared" ref="B32:K32" si="4">AVERAGE(B27:B31)</f>
        <v>#DIV/0!</v>
      </c>
      <c r="C32" s="37">
        <f t="shared" si="4"/>
        <v>79.298000000000002</v>
      </c>
      <c r="D32" s="38">
        <f t="shared" si="4"/>
        <v>77.801999999999992</v>
      </c>
      <c r="E32" s="39">
        <f t="shared" si="4"/>
        <v>11.553999999999998</v>
      </c>
      <c r="F32" s="37">
        <f t="shared" si="4"/>
        <v>17.134</v>
      </c>
      <c r="G32" s="38">
        <f t="shared" si="4"/>
        <v>0</v>
      </c>
      <c r="H32" s="38">
        <f t="shared" si="4"/>
        <v>1.752</v>
      </c>
      <c r="I32" s="40">
        <f t="shared" si="4"/>
        <v>6.4045596512088784E-2</v>
      </c>
      <c r="J32" s="38">
        <f t="shared" si="4"/>
        <v>3.1399999999999997</v>
      </c>
      <c r="K32" s="39">
        <f t="shared" si="4"/>
        <v>0</v>
      </c>
    </row>
    <row r="33" spans="1:11" ht="15.75" thickBot="1" x14ac:dyDescent="0.3">
      <c r="A33" s="41" t="s">
        <v>39</v>
      </c>
      <c r="B33" s="42" t="e">
        <f t="shared" ref="B33:K33" si="5">STDEV(B27:B31)</f>
        <v>#DIV/0!</v>
      </c>
      <c r="C33" s="43">
        <f t="shared" si="5"/>
        <v>2.4146366186240091</v>
      </c>
      <c r="D33" s="44">
        <f t="shared" si="5"/>
        <v>1.9798914111637547</v>
      </c>
      <c r="E33" s="45">
        <f t="shared" si="5"/>
        <v>0.48065580200388747</v>
      </c>
      <c r="F33" s="43">
        <f t="shared" si="5"/>
        <v>3.4590938119686689</v>
      </c>
      <c r="G33" s="44">
        <f t="shared" si="5"/>
        <v>0</v>
      </c>
      <c r="H33" s="44">
        <f t="shared" si="5"/>
        <v>0.48339424903488371</v>
      </c>
      <c r="I33" s="46">
        <f t="shared" si="5"/>
        <v>1.6824150547723661E-2</v>
      </c>
      <c r="J33" s="44">
        <f t="shared" si="5"/>
        <v>1.4724129855444772</v>
      </c>
      <c r="K33" s="45">
        <f t="shared" si="5"/>
        <v>0</v>
      </c>
    </row>
    <row r="35" spans="1:11" ht="15.75" thickBot="1" x14ac:dyDescent="0.3"/>
    <row r="36" spans="1:11" x14ac:dyDescent="0.25">
      <c r="A36" s="16" t="s">
        <v>30</v>
      </c>
      <c r="B36" s="14" t="s">
        <v>7</v>
      </c>
      <c r="C36" s="16" t="s">
        <v>6</v>
      </c>
      <c r="D36" s="19"/>
      <c r="E36" s="20"/>
      <c r="F36" s="16" t="s">
        <v>0</v>
      </c>
      <c r="G36" s="19"/>
      <c r="H36" s="19"/>
      <c r="I36" s="19"/>
      <c r="J36" s="19"/>
      <c r="K36" s="20"/>
    </row>
    <row r="37" spans="1:11" x14ac:dyDescent="0.25">
      <c r="A37" s="17"/>
      <c r="B37" s="15"/>
      <c r="C37" s="17"/>
      <c r="D37" s="18"/>
      <c r="E37" s="21"/>
      <c r="F37" s="17" t="s">
        <v>13</v>
      </c>
      <c r="G37" s="18"/>
      <c r="H37" s="18"/>
      <c r="I37" s="18"/>
      <c r="J37" s="18"/>
      <c r="K37" s="10">
        <v>43.5</v>
      </c>
    </row>
    <row r="38" spans="1:11" x14ac:dyDescent="0.25">
      <c r="A38" s="17"/>
      <c r="B38" s="15"/>
      <c r="C38" s="22" t="s">
        <v>24</v>
      </c>
      <c r="D38" s="25" t="s">
        <v>4</v>
      </c>
      <c r="E38" s="28" t="s">
        <v>5</v>
      </c>
      <c r="F38" s="31" t="s">
        <v>25</v>
      </c>
      <c r="G38" s="32"/>
      <c r="H38" s="32"/>
      <c r="I38" s="32"/>
      <c r="J38" s="33"/>
      <c r="K38" s="11">
        <v>0.2</v>
      </c>
    </row>
    <row r="39" spans="1:11" ht="25.5" x14ac:dyDescent="0.25">
      <c r="A39" s="17"/>
      <c r="B39" s="15"/>
      <c r="C39" s="23"/>
      <c r="D39" s="26"/>
      <c r="E39" s="29"/>
      <c r="F39" s="7" t="s">
        <v>18</v>
      </c>
      <c r="G39" s="8" t="s">
        <v>17</v>
      </c>
      <c r="H39" s="8" t="s">
        <v>20</v>
      </c>
      <c r="I39" s="8" t="s">
        <v>19</v>
      </c>
      <c r="J39" s="8" t="s">
        <v>22</v>
      </c>
      <c r="K39" s="4" t="s">
        <v>11</v>
      </c>
    </row>
    <row r="40" spans="1:11" x14ac:dyDescent="0.25">
      <c r="A40" s="17"/>
      <c r="B40" s="15"/>
      <c r="C40" s="24"/>
      <c r="D40" s="27"/>
      <c r="E40" s="30"/>
      <c r="F40" s="1" t="s">
        <v>14</v>
      </c>
      <c r="G40" s="2" t="s">
        <v>15</v>
      </c>
      <c r="H40" s="2" t="s">
        <v>16</v>
      </c>
      <c r="I40" s="2" t="s">
        <v>21</v>
      </c>
      <c r="J40" s="2" t="s">
        <v>23</v>
      </c>
      <c r="K40" s="4" t="s">
        <v>26</v>
      </c>
    </row>
    <row r="41" spans="1:11" x14ac:dyDescent="0.25">
      <c r="A41" s="17"/>
      <c r="B41" s="3" t="s">
        <v>8</v>
      </c>
      <c r="C41" s="1" t="s">
        <v>1</v>
      </c>
      <c r="D41" s="2" t="s">
        <v>1</v>
      </c>
      <c r="E41" s="4" t="s">
        <v>1</v>
      </c>
      <c r="F41" s="1" t="s">
        <v>2</v>
      </c>
      <c r="G41" s="2" t="s">
        <v>9</v>
      </c>
      <c r="H41" s="2" t="s">
        <v>1</v>
      </c>
      <c r="I41" s="2" t="s">
        <v>10</v>
      </c>
      <c r="J41" s="2" t="s">
        <v>3</v>
      </c>
      <c r="K41" s="4" t="s">
        <v>12</v>
      </c>
    </row>
    <row r="42" spans="1:11" x14ac:dyDescent="0.25">
      <c r="A42" s="5">
        <v>1</v>
      </c>
      <c r="B42" s="6"/>
      <c r="C42" s="6">
        <v>58.38</v>
      </c>
      <c r="D42" s="6">
        <v>53.18</v>
      </c>
      <c r="E42" s="6">
        <v>13.24</v>
      </c>
      <c r="F42" s="6">
        <v>11.3</v>
      </c>
      <c r="G42" s="12">
        <f>(3*F42*$K$18/1000)/((2*(C42/1000)*((E42/1000)^2)))/1000</f>
        <v>0</v>
      </c>
      <c r="H42" s="6">
        <v>1.59</v>
      </c>
      <c r="I42" s="13">
        <f>(6*(E42/1000)*(H42/1000))/(($K$37/1000)^2)</f>
        <v>6.6751010701545779E-2</v>
      </c>
      <c r="J42" s="6">
        <v>2.5</v>
      </c>
      <c r="K42" s="12">
        <f>((($K$18/1000)^3)*(J42*1000))/(4*(C42/1000)*((E42/1000)^3))/1000000</f>
        <v>0</v>
      </c>
    </row>
    <row r="43" spans="1:11" x14ac:dyDescent="0.25">
      <c r="A43" s="5">
        <v>2</v>
      </c>
      <c r="B43" s="6"/>
      <c r="C43" s="6">
        <v>75.67</v>
      </c>
      <c r="D43" s="6">
        <v>72.77</v>
      </c>
      <c r="E43" s="6">
        <v>11.32</v>
      </c>
      <c r="F43" s="6">
        <v>9.4</v>
      </c>
      <c r="G43" s="12">
        <f>(3*F43*$K$18/1000)/((2*(C43/1000)*((E43/1000)^2)))/1000</f>
        <v>0</v>
      </c>
      <c r="H43" s="6">
        <v>1.43</v>
      </c>
      <c r="I43" s="13">
        <f t="shared" ref="I43:I46" si="6">(6*(E43/1000)*(H43/1000))/(($K$37/1000)^2)</f>
        <v>5.1328101466508132E-2</v>
      </c>
      <c r="J43" s="6">
        <v>2.6</v>
      </c>
      <c r="K43" s="12">
        <f>((($K$18/1000)^3)*(J43*1000))/(4*(C43/1000)*((E43/1000)^3))/1000000</f>
        <v>0</v>
      </c>
    </row>
    <row r="44" spans="1:11" x14ac:dyDescent="0.25">
      <c r="A44" s="5">
        <v>3</v>
      </c>
      <c r="B44" s="6"/>
      <c r="C44" s="6">
        <v>80.930000000000007</v>
      </c>
      <c r="D44" s="6">
        <v>76.97</v>
      </c>
      <c r="E44" s="6">
        <v>12.9</v>
      </c>
      <c r="F44" s="6">
        <v>8.5</v>
      </c>
      <c r="G44" s="12">
        <f>(3*F44*$K$18/1000)/((2*(C44/1000)*((E44/1000)^2)))/1000</f>
        <v>0</v>
      </c>
      <c r="H44" s="6">
        <v>1.56</v>
      </c>
      <c r="I44" s="13">
        <f t="shared" si="6"/>
        <v>6.3809750297265169E-2</v>
      </c>
      <c r="J44" s="6">
        <v>1.8</v>
      </c>
      <c r="K44" s="12">
        <f>((($K$18/1000)^3)*(J44*1000))/(4*(C44/1000)*((E44/1000)^3))/1000000</f>
        <v>0</v>
      </c>
    </row>
    <row r="45" spans="1:11" x14ac:dyDescent="0.25">
      <c r="A45" s="5">
        <v>4</v>
      </c>
      <c r="B45" s="6"/>
      <c r="C45" s="6">
        <v>80.67</v>
      </c>
      <c r="D45" s="6">
        <v>72.180000000000007</v>
      </c>
      <c r="E45" s="6">
        <v>12.78</v>
      </c>
      <c r="F45" s="6">
        <v>8.1</v>
      </c>
      <c r="G45" s="12">
        <f>(3*F45*$K$18/1000)/((2*(C45/1000)*((E45/1000)^2)))/1000</f>
        <v>0</v>
      </c>
      <c r="H45" s="6">
        <v>1.61</v>
      </c>
      <c r="I45" s="13">
        <f t="shared" si="6"/>
        <v>6.5242330558858502E-2</v>
      </c>
      <c r="J45" s="6">
        <v>1.5</v>
      </c>
      <c r="K45" s="12">
        <f>((($K$18/1000)^3)*(J45*1000))/(4*(C45/1000)*((E45/1000)^3))/1000000</f>
        <v>0</v>
      </c>
    </row>
    <row r="46" spans="1:11" x14ac:dyDescent="0.25">
      <c r="A46" s="5">
        <v>5</v>
      </c>
      <c r="B46" s="6"/>
      <c r="C46" s="6">
        <v>78.87</v>
      </c>
      <c r="D46" s="6">
        <v>73.39</v>
      </c>
      <c r="E46" s="6">
        <v>12.99</v>
      </c>
      <c r="F46" s="6">
        <v>11.1</v>
      </c>
      <c r="G46" s="12">
        <f>(3*F46*$K$18/1000)/((2*(C46/1000)*((E46/1000)^2)))/1000</f>
        <v>0</v>
      </c>
      <c r="H46" s="6">
        <v>1.8</v>
      </c>
      <c r="I46" s="13">
        <f t="shared" si="6"/>
        <v>7.4140309155766942E-2</v>
      </c>
      <c r="J46" s="6">
        <v>1.5</v>
      </c>
      <c r="K46" s="12">
        <f>((($K$18/1000)^3)*(J46*1000))/(4*(C46/1000)*((E46/1000)^3))/1000000</f>
        <v>0</v>
      </c>
    </row>
    <row r="47" spans="1:11" x14ac:dyDescent="0.25">
      <c r="A47" s="35" t="s">
        <v>38</v>
      </c>
      <c r="B47" s="36" t="e">
        <f t="shared" ref="B47:K47" si="7">AVERAGE(B42:B46)</f>
        <v>#DIV/0!</v>
      </c>
      <c r="C47" s="37">
        <f t="shared" si="7"/>
        <v>74.904000000000011</v>
      </c>
      <c r="D47" s="38">
        <f t="shared" si="7"/>
        <v>69.698000000000008</v>
      </c>
      <c r="E47" s="39">
        <f t="shared" si="7"/>
        <v>12.646000000000001</v>
      </c>
      <c r="F47" s="37">
        <f t="shared" si="7"/>
        <v>9.6800000000000015</v>
      </c>
      <c r="G47" s="38">
        <f t="shared" si="7"/>
        <v>0</v>
      </c>
      <c r="H47" s="38">
        <f t="shared" si="7"/>
        <v>1.5980000000000001</v>
      </c>
      <c r="I47" s="40">
        <f t="shared" si="7"/>
        <v>6.4254300435988912E-2</v>
      </c>
      <c r="J47" s="38">
        <f t="shared" si="7"/>
        <v>1.9799999999999998</v>
      </c>
      <c r="K47" s="39">
        <f t="shared" si="7"/>
        <v>0</v>
      </c>
    </row>
    <row r="48" spans="1:11" ht="15.75" thickBot="1" x14ac:dyDescent="0.3">
      <c r="A48" s="41" t="s">
        <v>39</v>
      </c>
      <c r="B48" s="42" t="e">
        <f t="shared" ref="B48:K48" si="8">STDEV(B42:B46)</f>
        <v>#DIV/0!</v>
      </c>
      <c r="C48" s="43">
        <f t="shared" si="8"/>
        <v>9.4725645946596249</v>
      </c>
      <c r="D48" s="44">
        <f t="shared" si="8"/>
        <v>9.4201204875521487</v>
      </c>
      <c r="E48" s="45">
        <f t="shared" si="8"/>
        <v>0.76024995889509916</v>
      </c>
      <c r="F48" s="43">
        <f t="shared" si="8"/>
        <v>1.4669696656713753</v>
      </c>
      <c r="G48" s="44">
        <f t="shared" si="8"/>
        <v>0</v>
      </c>
      <c r="H48" s="44">
        <f t="shared" si="8"/>
        <v>0.1329285522376589</v>
      </c>
      <c r="I48" s="46">
        <f t="shared" si="8"/>
        <v>8.2496542155687802E-3</v>
      </c>
      <c r="J48" s="44">
        <f t="shared" si="8"/>
        <v>0.53572380943915565</v>
      </c>
      <c r="K48" s="45">
        <f t="shared" si="8"/>
        <v>0</v>
      </c>
    </row>
    <row r="50" spans="1:11" ht="15.75" thickBot="1" x14ac:dyDescent="0.3"/>
    <row r="51" spans="1:11" x14ac:dyDescent="0.25">
      <c r="A51" s="16" t="s">
        <v>31</v>
      </c>
      <c r="B51" s="14" t="s">
        <v>7</v>
      </c>
      <c r="C51" s="16" t="s">
        <v>6</v>
      </c>
      <c r="D51" s="19"/>
      <c r="E51" s="20"/>
      <c r="F51" s="16" t="s">
        <v>0</v>
      </c>
      <c r="G51" s="19"/>
      <c r="H51" s="19"/>
      <c r="I51" s="19"/>
      <c r="J51" s="19"/>
      <c r="K51" s="20"/>
    </row>
    <row r="52" spans="1:11" x14ac:dyDescent="0.25">
      <c r="A52" s="17"/>
      <c r="B52" s="15"/>
      <c r="C52" s="17"/>
      <c r="D52" s="18"/>
      <c r="E52" s="21"/>
      <c r="F52" s="17" t="s">
        <v>13</v>
      </c>
      <c r="G52" s="18"/>
      <c r="H52" s="18"/>
      <c r="I52" s="18"/>
      <c r="J52" s="18"/>
      <c r="K52" s="10">
        <v>43.5</v>
      </c>
    </row>
    <row r="53" spans="1:11" x14ac:dyDescent="0.25">
      <c r="A53" s="17"/>
      <c r="B53" s="15"/>
      <c r="C53" s="22" t="s">
        <v>24</v>
      </c>
      <c r="D53" s="25" t="s">
        <v>4</v>
      </c>
      <c r="E53" s="28" t="s">
        <v>5</v>
      </c>
      <c r="F53" s="31" t="s">
        <v>25</v>
      </c>
      <c r="G53" s="32"/>
      <c r="H53" s="32"/>
      <c r="I53" s="32"/>
      <c r="J53" s="33"/>
      <c r="K53" s="11">
        <v>0.2</v>
      </c>
    </row>
    <row r="54" spans="1:11" ht="25.5" x14ac:dyDescent="0.25">
      <c r="A54" s="17"/>
      <c r="B54" s="15"/>
      <c r="C54" s="23"/>
      <c r="D54" s="26"/>
      <c r="E54" s="29"/>
      <c r="F54" s="7" t="s">
        <v>18</v>
      </c>
      <c r="G54" s="8" t="s">
        <v>17</v>
      </c>
      <c r="H54" s="8" t="s">
        <v>20</v>
      </c>
      <c r="I54" s="8" t="s">
        <v>19</v>
      </c>
      <c r="J54" s="8" t="s">
        <v>22</v>
      </c>
      <c r="K54" s="4" t="s">
        <v>11</v>
      </c>
    </row>
    <row r="55" spans="1:11" x14ac:dyDescent="0.25">
      <c r="A55" s="17"/>
      <c r="B55" s="15"/>
      <c r="C55" s="24"/>
      <c r="D55" s="27"/>
      <c r="E55" s="30"/>
      <c r="F55" s="1" t="s">
        <v>14</v>
      </c>
      <c r="G55" s="2" t="s">
        <v>15</v>
      </c>
      <c r="H55" s="2" t="s">
        <v>16</v>
      </c>
      <c r="I55" s="2" t="s">
        <v>21</v>
      </c>
      <c r="J55" s="2" t="s">
        <v>23</v>
      </c>
      <c r="K55" s="4" t="s">
        <v>26</v>
      </c>
    </row>
    <row r="56" spans="1:11" x14ac:dyDescent="0.25">
      <c r="A56" s="17"/>
      <c r="B56" s="3" t="s">
        <v>8</v>
      </c>
      <c r="C56" s="1" t="s">
        <v>1</v>
      </c>
      <c r="D56" s="2" t="s">
        <v>1</v>
      </c>
      <c r="E56" s="4" t="s">
        <v>1</v>
      </c>
      <c r="F56" s="1" t="s">
        <v>2</v>
      </c>
      <c r="G56" s="2" t="s">
        <v>9</v>
      </c>
      <c r="H56" s="2" t="s">
        <v>1</v>
      </c>
      <c r="I56" s="2" t="s">
        <v>10</v>
      </c>
      <c r="J56" s="2" t="s">
        <v>3</v>
      </c>
      <c r="K56" s="4" t="s">
        <v>12</v>
      </c>
    </row>
    <row r="57" spans="1:11" x14ac:dyDescent="0.25">
      <c r="A57" s="5">
        <v>1</v>
      </c>
      <c r="B57" s="6"/>
      <c r="C57" s="6">
        <v>81.38</v>
      </c>
      <c r="D57" s="6">
        <v>80.89</v>
      </c>
      <c r="E57" s="6">
        <v>12.25</v>
      </c>
      <c r="F57" s="6">
        <v>16.7</v>
      </c>
      <c r="G57" s="12">
        <f>(3*F57*$K$18/1000)/((2*(C57/1000)*((E57/1000)^2)))/1000</f>
        <v>0</v>
      </c>
      <c r="H57" s="6">
        <v>1.17</v>
      </c>
      <c r="I57" s="13">
        <f>(6*(E57/1000)*(H57/1000))/(($K$52/1000)^2)</f>
        <v>4.5445897740784794E-2</v>
      </c>
      <c r="J57" s="6">
        <v>5.3</v>
      </c>
      <c r="K57" s="12">
        <f>((($K$18/1000)^3)*(J57*1000))/(4*(C57/1000)*((E57/1000)^3))/1000000</f>
        <v>0</v>
      </c>
    </row>
    <row r="58" spans="1:11" x14ac:dyDescent="0.25">
      <c r="A58" s="5">
        <v>2</v>
      </c>
      <c r="B58" s="6"/>
      <c r="C58" s="6">
        <v>77.099999999999994</v>
      </c>
      <c r="D58" s="6">
        <v>70.92</v>
      </c>
      <c r="E58" s="6">
        <v>11.31</v>
      </c>
      <c r="F58" s="6">
        <v>15.9</v>
      </c>
      <c r="G58" s="12">
        <f>(3*F58*$K$18/1000)/((2*(C58/1000)*((E58/1000)^2)))/1000</f>
        <v>0</v>
      </c>
      <c r="H58" s="6">
        <v>1.1399999999999999</v>
      </c>
      <c r="I58" s="13">
        <f t="shared" ref="I58:I61" si="9">(6*(E58/1000)*(H58/1000))/(($K$52/1000)^2)</f>
        <v>4.0882758620689665E-2</v>
      </c>
      <c r="J58" s="6">
        <v>3.9</v>
      </c>
      <c r="K58" s="12">
        <f>((($K$18/1000)^3)*(J58*1000))/(4*(C58/1000)*((E58/1000)^3))/1000000</f>
        <v>0</v>
      </c>
    </row>
    <row r="59" spans="1:11" x14ac:dyDescent="0.25">
      <c r="A59" s="5">
        <v>3</v>
      </c>
      <c r="B59" s="6"/>
      <c r="C59" s="6">
        <v>78.650000000000006</v>
      </c>
      <c r="D59" s="6">
        <v>76.44</v>
      </c>
      <c r="E59" s="6">
        <v>11.99</v>
      </c>
      <c r="F59" s="6">
        <v>18.899999999999999</v>
      </c>
      <c r="G59" s="12">
        <f>(3*F59*$K$18/1000)/((2*(C59/1000)*((E59/1000)^2)))/1000</f>
        <v>0</v>
      </c>
      <c r="H59" s="6">
        <v>1.21</v>
      </c>
      <c r="I59" s="13">
        <f t="shared" si="9"/>
        <v>4.6002061038446299E-2</v>
      </c>
      <c r="J59" s="6">
        <v>5.3</v>
      </c>
      <c r="K59" s="12">
        <f>((($K$18/1000)^3)*(J59*1000))/(4*(C59/1000)*((E59/1000)^3))/1000000</f>
        <v>0</v>
      </c>
    </row>
    <row r="60" spans="1:11" x14ac:dyDescent="0.25">
      <c r="A60" s="5">
        <v>4</v>
      </c>
      <c r="B60" s="6"/>
      <c r="C60" s="6">
        <v>79.180000000000007</v>
      </c>
      <c r="D60" s="6">
        <v>77.09</v>
      </c>
      <c r="E60" s="6">
        <v>12.99</v>
      </c>
      <c r="F60" s="6">
        <v>17</v>
      </c>
      <c r="G60" s="12">
        <f>(3*F60*$K$18/1000)/((2*(C60/1000)*((E60/1000)^2)))/1000</f>
        <v>0</v>
      </c>
      <c r="H60" s="6">
        <v>1.91</v>
      </c>
      <c r="I60" s="13">
        <f t="shared" si="9"/>
        <v>7.867110582639715E-2</v>
      </c>
      <c r="J60" s="6">
        <v>3.8</v>
      </c>
      <c r="K60" s="12">
        <f>((($K$18/1000)^3)*(J60*1000))/(4*(C60/1000)*((E60/1000)^3))/1000000</f>
        <v>0</v>
      </c>
    </row>
    <row r="61" spans="1:11" x14ac:dyDescent="0.25">
      <c r="A61" s="5">
        <v>5</v>
      </c>
      <c r="B61" s="6"/>
      <c r="C61" s="6">
        <v>81.319999999999993</v>
      </c>
      <c r="D61" s="6">
        <v>89.97</v>
      </c>
      <c r="E61" s="6">
        <v>11.46</v>
      </c>
      <c r="F61" s="6">
        <v>19.5</v>
      </c>
      <c r="G61" s="12">
        <f>(3*F61*$K$18/1000)/((2*(C61/1000)*((E61/1000)^2)))/1000</f>
        <v>0</v>
      </c>
      <c r="H61" s="6">
        <v>1.2</v>
      </c>
      <c r="I61" s="13">
        <f t="shared" si="9"/>
        <v>4.3605231866825217E-2</v>
      </c>
      <c r="J61" s="6">
        <v>5.8</v>
      </c>
      <c r="K61" s="12">
        <f>((($K$18/1000)^3)*(J61*1000))/(4*(C61/1000)*((E61/1000)^3))/1000000</f>
        <v>0</v>
      </c>
    </row>
    <row r="62" spans="1:11" x14ac:dyDescent="0.25">
      <c r="A62" s="35" t="s">
        <v>38</v>
      </c>
      <c r="B62" s="36" t="e">
        <f t="shared" ref="B62:K62" si="10">AVERAGE(B57:B61)</f>
        <v>#DIV/0!</v>
      </c>
      <c r="C62" s="37">
        <f t="shared" si="10"/>
        <v>79.525999999999996</v>
      </c>
      <c r="D62" s="38">
        <f t="shared" si="10"/>
        <v>79.062000000000012</v>
      </c>
      <c r="E62" s="39">
        <f t="shared" si="10"/>
        <v>12.000000000000002</v>
      </c>
      <c r="F62" s="37">
        <f t="shared" si="10"/>
        <v>17.600000000000001</v>
      </c>
      <c r="G62" s="38">
        <f t="shared" si="10"/>
        <v>0</v>
      </c>
      <c r="H62" s="38">
        <f t="shared" si="10"/>
        <v>1.3260000000000001</v>
      </c>
      <c r="I62" s="40">
        <f t="shared" si="10"/>
        <v>5.0921411018628612E-2</v>
      </c>
      <c r="J62" s="38">
        <f t="shared" si="10"/>
        <v>4.82</v>
      </c>
      <c r="K62" s="39">
        <f t="shared" si="10"/>
        <v>0</v>
      </c>
    </row>
    <row r="63" spans="1:11" ht="15.75" thickBot="1" x14ac:dyDescent="0.3">
      <c r="A63" s="41" t="s">
        <v>39</v>
      </c>
      <c r="B63" s="42" t="e">
        <f t="shared" ref="B63:K63" si="11">STDEV(B57:B61)</f>
        <v>#DIV/0!</v>
      </c>
      <c r="C63" s="43">
        <f t="shared" si="11"/>
        <v>1.8322336095596523</v>
      </c>
      <c r="D63" s="44">
        <f t="shared" si="11"/>
        <v>7.0601324350184811</v>
      </c>
      <c r="E63" s="45">
        <f t="shared" si="11"/>
        <v>0.67275552766216618</v>
      </c>
      <c r="F63" s="43">
        <f t="shared" si="11"/>
        <v>1.5297058540778352</v>
      </c>
      <c r="G63" s="44">
        <f t="shared" si="11"/>
        <v>0</v>
      </c>
      <c r="H63" s="44">
        <f t="shared" si="11"/>
        <v>0.32761257607118766</v>
      </c>
      <c r="I63" s="46">
        <f t="shared" si="11"/>
        <v>1.5640714746740239E-2</v>
      </c>
      <c r="J63" s="44">
        <f t="shared" si="11"/>
        <v>0.90939540355117154</v>
      </c>
      <c r="K63" s="45">
        <f t="shared" si="11"/>
        <v>0</v>
      </c>
    </row>
    <row r="65" spans="1:11" ht="15.75" thickBot="1" x14ac:dyDescent="0.3"/>
    <row r="66" spans="1:11" x14ac:dyDescent="0.25">
      <c r="A66" s="16" t="s">
        <v>37</v>
      </c>
      <c r="B66" s="14" t="s">
        <v>7</v>
      </c>
      <c r="C66" s="16" t="s">
        <v>6</v>
      </c>
      <c r="D66" s="19"/>
      <c r="E66" s="20"/>
      <c r="F66" s="16" t="s">
        <v>0</v>
      </c>
      <c r="G66" s="19"/>
      <c r="H66" s="19"/>
      <c r="I66" s="19"/>
      <c r="J66" s="19"/>
      <c r="K66" s="20"/>
    </row>
    <row r="67" spans="1:11" x14ac:dyDescent="0.25">
      <c r="A67" s="17"/>
      <c r="B67" s="15"/>
      <c r="C67" s="17"/>
      <c r="D67" s="18"/>
      <c r="E67" s="21"/>
      <c r="F67" s="17" t="s">
        <v>13</v>
      </c>
      <c r="G67" s="18"/>
      <c r="H67" s="18"/>
      <c r="I67" s="18"/>
      <c r="J67" s="18"/>
      <c r="K67" s="10">
        <v>43.5</v>
      </c>
    </row>
    <row r="68" spans="1:11" x14ac:dyDescent="0.25">
      <c r="A68" s="17"/>
      <c r="B68" s="15"/>
      <c r="C68" s="22" t="s">
        <v>24</v>
      </c>
      <c r="D68" s="25" t="s">
        <v>4</v>
      </c>
      <c r="E68" s="28" t="s">
        <v>5</v>
      </c>
      <c r="F68" s="31" t="s">
        <v>25</v>
      </c>
      <c r="G68" s="32"/>
      <c r="H68" s="32"/>
      <c r="I68" s="32"/>
      <c r="J68" s="33"/>
      <c r="K68" s="11">
        <v>0.2</v>
      </c>
    </row>
    <row r="69" spans="1:11" ht="25.5" x14ac:dyDescent="0.25">
      <c r="A69" s="17"/>
      <c r="B69" s="15"/>
      <c r="C69" s="23"/>
      <c r="D69" s="26"/>
      <c r="E69" s="29"/>
      <c r="F69" s="7" t="s">
        <v>18</v>
      </c>
      <c r="G69" s="8" t="s">
        <v>17</v>
      </c>
      <c r="H69" s="8" t="s">
        <v>20</v>
      </c>
      <c r="I69" s="8" t="s">
        <v>19</v>
      </c>
      <c r="J69" s="8" t="s">
        <v>22</v>
      </c>
      <c r="K69" s="4" t="s">
        <v>11</v>
      </c>
    </row>
    <row r="70" spans="1:11" x14ac:dyDescent="0.25">
      <c r="A70" s="17"/>
      <c r="B70" s="15"/>
      <c r="C70" s="24"/>
      <c r="D70" s="27"/>
      <c r="E70" s="30"/>
      <c r="F70" s="1" t="s">
        <v>14</v>
      </c>
      <c r="G70" s="2" t="s">
        <v>15</v>
      </c>
      <c r="H70" s="2" t="s">
        <v>16</v>
      </c>
      <c r="I70" s="2" t="s">
        <v>21</v>
      </c>
      <c r="J70" s="2" t="s">
        <v>23</v>
      </c>
      <c r="K70" s="4" t="s">
        <v>26</v>
      </c>
    </row>
    <row r="71" spans="1:11" x14ac:dyDescent="0.25">
      <c r="A71" s="17"/>
      <c r="B71" s="3" t="s">
        <v>8</v>
      </c>
      <c r="C71" s="1" t="s">
        <v>1</v>
      </c>
      <c r="D71" s="2" t="s">
        <v>1</v>
      </c>
      <c r="E71" s="4" t="s">
        <v>1</v>
      </c>
      <c r="F71" s="1" t="s">
        <v>2</v>
      </c>
      <c r="G71" s="2" t="s">
        <v>9</v>
      </c>
      <c r="H71" s="2" t="s">
        <v>1</v>
      </c>
      <c r="I71" s="2" t="s">
        <v>10</v>
      </c>
      <c r="J71" s="2" t="s">
        <v>3</v>
      </c>
      <c r="K71" s="4" t="s">
        <v>12</v>
      </c>
    </row>
    <row r="72" spans="1:11" x14ac:dyDescent="0.25">
      <c r="A72" s="5">
        <v>1</v>
      </c>
      <c r="B72" s="6"/>
      <c r="C72" s="6">
        <v>75.12</v>
      </c>
      <c r="D72" s="6">
        <v>60.19</v>
      </c>
      <c r="E72" s="6">
        <v>16.7</v>
      </c>
      <c r="F72" s="6">
        <v>13.6</v>
      </c>
      <c r="G72" s="12">
        <f>(3*F72*$K$18/1000)/((2*(C72/1000)*((E72/1000)^2)))/1000</f>
        <v>0</v>
      </c>
      <c r="H72" s="6">
        <v>0.71</v>
      </c>
      <c r="I72" s="13">
        <f>(6*(E72/1000)*(H72/1000))/(($K$67/1000)^2)</f>
        <v>3.7596512088783195E-2</v>
      </c>
      <c r="J72" s="6">
        <v>4.0999999999999996</v>
      </c>
      <c r="K72" s="12">
        <f>((($K$18/1000)^3)*(J72*1000))/(4*(C72/1000)*((E72/1000)^3))/1000000</f>
        <v>0</v>
      </c>
    </row>
    <row r="73" spans="1:11" x14ac:dyDescent="0.25">
      <c r="A73" s="5">
        <v>2</v>
      </c>
      <c r="B73" s="6"/>
      <c r="C73" s="6">
        <v>69.7</v>
      </c>
      <c r="D73" s="6">
        <v>67.099999999999994</v>
      </c>
      <c r="E73" s="6">
        <v>18.309999999999999</v>
      </c>
      <c r="F73" s="6">
        <v>51.7</v>
      </c>
      <c r="G73" s="12">
        <f>(3*F73*$K$18/1000)/((2*(C73/1000)*((E73/1000)^2)))/1000</f>
        <v>0</v>
      </c>
      <c r="H73" s="6">
        <v>1.34</v>
      </c>
      <c r="I73" s="13">
        <f t="shared" ref="I73:I76" si="12">(6*(E73/1000)*(H73/1000))/(($K$67/1000)^2)</f>
        <v>7.7797542608006351E-2</v>
      </c>
      <c r="J73" s="6">
        <v>13.2</v>
      </c>
      <c r="K73" s="12">
        <f>((($K$18/1000)^3)*(J73*1000))/(4*(C73/1000)*((E73/1000)^3))/1000000</f>
        <v>0</v>
      </c>
    </row>
    <row r="74" spans="1:11" x14ac:dyDescent="0.25">
      <c r="A74" s="5">
        <v>3</v>
      </c>
      <c r="B74" s="6"/>
      <c r="C74" s="6">
        <v>65.11</v>
      </c>
      <c r="D74" s="6">
        <v>62.73</v>
      </c>
      <c r="E74" s="6">
        <v>17.920000000000002</v>
      </c>
      <c r="F74" s="6">
        <v>22.9</v>
      </c>
      <c r="G74" s="12">
        <f>(3*F74*$K$18/1000)/((2*(C74/1000)*((E74/1000)^2)))/1000</f>
        <v>0</v>
      </c>
      <c r="H74" s="6">
        <v>0.53</v>
      </c>
      <c r="I74" s="13">
        <f t="shared" si="12"/>
        <v>3.0115259611573526E-2</v>
      </c>
      <c r="J74" s="6">
        <v>11</v>
      </c>
      <c r="K74" s="12">
        <f>((($K$18/1000)^3)*(J74*1000))/(4*(C74/1000)*((E74/1000)^3))/1000000</f>
        <v>0</v>
      </c>
    </row>
    <row r="75" spans="1:11" x14ac:dyDescent="0.25">
      <c r="A75" s="5">
        <v>4</v>
      </c>
      <c r="B75" s="6"/>
      <c r="C75" s="6">
        <v>72.67</v>
      </c>
      <c r="D75" s="6">
        <v>82.43</v>
      </c>
      <c r="E75" s="6">
        <v>15.1</v>
      </c>
      <c r="F75" s="6">
        <v>57.6</v>
      </c>
      <c r="G75" s="12">
        <f>(3*F75*$K$18/1000)/((2*(C75/1000)*((E75/1000)^2)))/1000</f>
        <v>0</v>
      </c>
      <c r="H75" s="6">
        <v>1.58</v>
      </c>
      <c r="I75" s="13">
        <f t="shared" si="12"/>
        <v>7.5649623464129997E-2</v>
      </c>
      <c r="J75" s="6">
        <v>12.9</v>
      </c>
      <c r="K75" s="12">
        <f>((($K$18/1000)^3)*(J75*1000))/(4*(C75/1000)*((E75/1000)^3))/1000000</f>
        <v>0</v>
      </c>
    </row>
    <row r="76" spans="1:11" x14ac:dyDescent="0.25">
      <c r="A76" s="5">
        <v>5</v>
      </c>
      <c r="B76" s="6"/>
      <c r="C76" s="6">
        <v>74.16</v>
      </c>
      <c r="D76" s="6">
        <v>64.44</v>
      </c>
      <c r="E76" s="6">
        <v>16.21</v>
      </c>
      <c r="F76" s="6">
        <v>13.3</v>
      </c>
      <c r="G76" s="12">
        <f>(3*F76*$K$18/1000)/((2*(C76/1000)*((E76/1000)^2)))/1000</f>
        <v>0</v>
      </c>
      <c r="H76" s="6">
        <v>1.44</v>
      </c>
      <c r="I76" s="13">
        <f t="shared" si="12"/>
        <v>7.4014744351961953E-2</v>
      </c>
      <c r="J76" s="6">
        <v>3.7</v>
      </c>
      <c r="K76" s="12">
        <f>((($K$18/1000)^3)*(J76*1000))/(4*(C76/1000)*((E76/1000)^3))/1000000</f>
        <v>0</v>
      </c>
    </row>
    <row r="77" spans="1:11" x14ac:dyDescent="0.25">
      <c r="A77" s="35" t="s">
        <v>38</v>
      </c>
      <c r="B77" s="36" t="e">
        <f t="shared" ref="B77:K77" si="13">AVERAGE(B72:B76)</f>
        <v>#DIV/0!</v>
      </c>
      <c r="C77" s="37">
        <f t="shared" si="13"/>
        <v>71.352000000000004</v>
      </c>
      <c r="D77" s="38">
        <f t="shared" si="13"/>
        <v>67.378</v>
      </c>
      <c r="E77" s="39">
        <f t="shared" si="13"/>
        <v>16.848000000000003</v>
      </c>
      <c r="F77" s="37">
        <f t="shared" si="13"/>
        <v>31.82</v>
      </c>
      <c r="G77" s="38">
        <f t="shared" si="13"/>
        <v>0</v>
      </c>
      <c r="H77" s="38">
        <f t="shared" si="13"/>
        <v>1.1199999999999999</v>
      </c>
      <c r="I77" s="40">
        <f t="shared" si="13"/>
        <v>5.9034736424891009E-2</v>
      </c>
      <c r="J77" s="38">
        <f t="shared" si="13"/>
        <v>8.98</v>
      </c>
      <c r="K77" s="39">
        <f t="shared" si="13"/>
        <v>0</v>
      </c>
    </row>
    <row r="78" spans="1:11" ht="15.75" thickBot="1" x14ac:dyDescent="0.3">
      <c r="A78" s="41" t="s">
        <v>39</v>
      </c>
      <c r="B78" s="42" t="e">
        <f t="shared" ref="B78:K78" si="14">STDEV(B72:B76)</f>
        <v>#DIV/0!</v>
      </c>
      <c r="C78" s="43">
        <f t="shared" si="14"/>
        <v>4.0469581169070681</v>
      </c>
      <c r="D78" s="44">
        <f t="shared" si="14"/>
        <v>8.7826971939148546</v>
      </c>
      <c r="E78" s="45">
        <f t="shared" si="14"/>
        <v>1.3010649484172572</v>
      </c>
      <c r="F78" s="43">
        <f t="shared" si="14"/>
        <v>21.297582022379917</v>
      </c>
      <c r="G78" s="44">
        <f t="shared" si="14"/>
        <v>0</v>
      </c>
      <c r="H78" s="44">
        <f t="shared" si="14"/>
        <v>0.4686683262180199</v>
      </c>
      <c r="I78" s="46">
        <f t="shared" si="14"/>
        <v>2.3175588485129236E-2</v>
      </c>
      <c r="J78" s="44">
        <f t="shared" si="14"/>
        <v>4.7156123674449741</v>
      </c>
      <c r="K78" s="45">
        <f t="shared" si="14"/>
        <v>0</v>
      </c>
    </row>
    <row r="80" spans="1:11" ht="15.75" thickBot="1" x14ac:dyDescent="0.3"/>
    <row r="81" spans="1:11" x14ac:dyDescent="0.25">
      <c r="A81" s="16" t="s">
        <v>40</v>
      </c>
      <c r="B81" s="14" t="s">
        <v>7</v>
      </c>
      <c r="C81" s="16" t="s">
        <v>6</v>
      </c>
      <c r="D81" s="19"/>
      <c r="E81" s="20"/>
      <c r="F81" s="16" t="s">
        <v>0</v>
      </c>
      <c r="G81" s="19"/>
      <c r="H81" s="19"/>
      <c r="I81" s="19"/>
      <c r="J81" s="19"/>
      <c r="K81" s="20"/>
    </row>
    <row r="82" spans="1:11" x14ac:dyDescent="0.25">
      <c r="A82" s="17"/>
      <c r="B82" s="15"/>
      <c r="C82" s="17"/>
      <c r="D82" s="18"/>
      <c r="E82" s="21"/>
      <c r="F82" s="17" t="s">
        <v>13</v>
      </c>
      <c r="G82" s="18"/>
      <c r="H82" s="18"/>
      <c r="I82" s="18"/>
      <c r="J82" s="18"/>
      <c r="K82" s="10">
        <v>43.5</v>
      </c>
    </row>
    <row r="83" spans="1:11" x14ac:dyDescent="0.25">
      <c r="A83" s="17"/>
      <c r="B83" s="15"/>
      <c r="C83" s="22" t="s">
        <v>24</v>
      </c>
      <c r="D83" s="25" t="s">
        <v>4</v>
      </c>
      <c r="E83" s="28" t="s">
        <v>5</v>
      </c>
      <c r="F83" s="31" t="s">
        <v>25</v>
      </c>
      <c r="G83" s="32"/>
      <c r="H83" s="32"/>
      <c r="I83" s="32"/>
      <c r="J83" s="33"/>
      <c r="K83" s="11">
        <v>0.2</v>
      </c>
    </row>
    <row r="84" spans="1:11" ht="25.5" x14ac:dyDescent="0.25">
      <c r="A84" s="17"/>
      <c r="B84" s="15"/>
      <c r="C84" s="23"/>
      <c r="D84" s="26"/>
      <c r="E84" s="29"/>
      <c r="F84" s="7" t="s">
        <v>18</v>
      </c>
      <c r="G84" s="8" t="s">
        <v>17</v>
      </c>
      <c r="H84" s="8" t="s">
        <v>20</v>
      </c>
      <c r="I84" s="8" t="s">
        <v>19</v>
      </c>
      <c r="J84" s="8" t="s">
        <v>22</v>
      </c>
      <c r="K84" s="4" t="s">
        <v>11</v>
      </c>
    </row>
    <row r="85" spans="1:11" x14ac:dyDescent="0.25">
      <c r="A85" s="17"/>
      <c r="B85" s="15"/>
      <c r="C85" s="24"/>
      <c r="D85" s="27"/>
      <c r="E85" s="30"/>
      <c r="F85" s="1" t="s">
        <v>14</v>
      </c>
      <c r="G85" s="2" t="s">
        <v>15</v>
      </c>
      <c r="H85" s="2" t="s">
        <v>16</v>
      </c>
      <c r="I85" s="2" t="s">
        <v>21</v>
      </c>
      <c r="J85" s="2" t="s">
        <v>23</v>
      </c>
      <c r="K85" s="4" t="s">
        <v>26</v>
      </c>
    </row>
    <row r="86" spans="1:11" x14ac:dyDescent="0.25">
      <c r="A86" s="17"/>
      <c r="B86" s="3" t="s">
        <v>8</v>
      </c>
      <c r="C86" s="1" t="s">
        <v>1</v>
      </c>
      <c r="D86" s="2" t="s">
        <v>1</v>
      </c>
      <c r="E86" s="4" t="s">
        <v>1</v>
      </c>
      <c r="F86" s="1" t="s">
        <v>2</v>
      </c>
      <c r="G86" s="2" t="s">
        <v>9</v>
      </c>
      <c r="H86" s="2" t="s">
        <v>1</v>
      </c>
      <c r="I86" s="2" t="s">
        <v>10</v>
      </c>
      <c r="J86" s="2" t="s">
        <v>3</v>
      </c>
      <c r="K86" s="4" t="s">
        <v>12</v>
      </c>
    </row>
    <row r="87" spans="1:11" x14ac:dyDescent="0.25">
      <c r="A87" s="5">
        <v>1</v>
      </c>
      <c r="B87" s="6"/>
      <c r="C87" s="6">
        <v>68.03</v>
      </c>
      <c r="D87" s="6">
        <v>64.67</v>
      </c>
      <c r="E87" s="6">
        <v>18.89</v>
      </c>
      <c r="F87" s="6">
        <v>49.1</v>
      </c>
      <c r="G87" s="12">
        <f>(3*F87*$K$18/1000)/((2*(C87/1000)*((E87/1000)^2)))/1000</f>
        <v>0</v>
      </c>
      <c r="H87" s="6">
        <v>2.33</v>
      </c>
      <c r="I87" s="13">
        <f>(6*(E87/1000)*(H87/1000))/(($K$82/1000)^2)</f>
        <v>0.13955988902100674</v>
      </c>
      <c r="J87" s="6">
        <v>8.1999999999999993</v>
      </c>
      <c r="K87" s="12">
        <f>((($K$18/1000)^3)*(J87*1000))/(4*(C87/1000)*((E87/1000)^3))/1000000</f>
        <v>0</v>
      </c>
    </row>
    <row r="88" spans="1:11" x14ac:dyDescent="0.25">
      <c r="A88" s="5">
        <v>2</v>
      </c>
      <c r="B88" s="6"/>
      <c r="C88" s="6">
        <v>68.55</v>
      </c>
      <c r="D88" s="6">
        <v>64.52</v>
      </c>
      <c r="E88" s="6">
        <v>20.02</v>
      </c>
      <c r="F88" s="6">
        <v>82.8</v>
      </c>
      <c r="G88" s="12">
        <f>(3*F88*$K$18/1000)/((2*(C88/1000)*((E88/1000)^2)))/1000</f>
        <v>0</v>
      </c>
      <c r="H88" s="6">
        <v>2.3199999999999998</v>
      </c>
      <c r="I88" s="13">
        <f t="shared" ref="I88:I91" si="15">(6*(E88/1000)*(H88/1000))/(($K$82/1000)^2)</f>
        <v>0.14727356321839083</v>
      </c>
      <c r="J88" s="6">
        <v>20.9</v>
      </c>
      <c r="K88" s="12">
        <f>((($K$18/1000)^3)*(J88*1000))/(4*(C88/1000)*((E88/1000)^3))/1000000</f>
        <v>0</v>
      </c>
    </row>
    <row r="89" spans="1:11" x14ac:dyDescent="0.25">
      <c r="A89" s="5">
        <v>3</v>
      </c>
      <c r="B89" s="6"/>
      <c r="C89" s="6">
        <v>65.92</v>
      </c>
      <c r="D89" s="6">
        <v>65.400000000000006</v>
      </c>
      <c r="E89" s="6">
        <v>18.87</v>
      </c>
      <c r="F89" s="6">
        <v>76.540000000000006</v>
      </c>
      <c r="G89" s="12">
        <f>(3*F89*$K$18/1000)/((2*(C89/1000)*((E89/1000)^2)))/1000</f>
        <v>0</v>
      </c>
      <c r="H89" s="6">
        <v>2.09</v>
      </c>
      <c r="I89" s="13">
        <f t="shared" si="15"/>
        <v>0.12505208085612368</v>
      </c>
      <c r="J89" s="6">
        <v>13.9</v>
      </c>
      <c r="K89" s="12">
        <f>((($K$18/1000)^3)*(J89*1000))/(4*(C89/1000)*((E89/1000)^3))/1000000</f>
        <v>0</v>
      </c>
    </row>
    <row r="90" spans="1:11" x14ac:dyDescent="0.25">
      <c r="A90" s="5">
        <v>4</v>
      </c>
      <c r="B90" s="6"/>
      <c r="C90" s="6">
        <v>66.55</v>
      </c>
      <c r="D90" s="6">
        <v>64.06</v>
      </c>
      <c r="E90" s="6">
        <v>18.37</v>
      </c>
      <c r="F90" s="6">
        <v>44.9</v>
      </c>
      <c r="G90" s="12">
        <f>(3*F90*$K$18/1000)/((2*(C90/1000)*((E90/1000)^2)))/1000</f>
        <v>0</v>
      </c>
      <c r="H90" s="6">
        <v>1.88</v>
      </c>
      <c r="I90" s="13">
        <f t="shared" si="15"/>
        <v>0.10950646056282207</v>
      </c>
      <c r="J90" s="6">
        <v>4.3</v>
      </c>
      <c r="K90" s="12">
        <f>((($K$18/1000)^3)*(J90*1000))/(4*(C90/1000)*((E90/1000)^3))/1000000</f>
        <v>0</v>
      </c>
    </row>
    <row r="91" spans="1:11" x14ac:dyDescent="0.25">
      <c r="A91" s="5">
        <v>5</v>
      </c>
      <c r="B91" s="6"/>
      <c r="C91" s="6">
        <v>67.45</v>
      </c>
      <c r="D91" s="6">
        <v>64.17</v>
      </c>
      <c r="E91" s="6">
        <v>18.52</v>
      </c>
      <c r="F91" s="6">
        <v>57</v>
      </c>
      <c r="G91" s="12">
        <f>(3*F91*$K$18/1000)/((2*(C91/1000)*((E91/1000)^2)))/1000</f>
        <v>0</v>
      </c>
      <c r="H91" s="6">
        <v>1.4</v>
      </c>
      <c r="I91" s="13">
        <f t="shared" si="15"/>
        <v>8.2213238208481976E-2</v>
      </c>
      <c r="J91" s="6">
        <v>12.8</v>
      </c>
      <c r="K91" s="12">
        <f>((($K$18/1000)^3)*(J91*1000))/(4*(C91/1000)*((E91/1000)^3))/1000000</f>
        <v>0</v>
      </c>
    </row>
    <row r="92" spans="1:11" x14ac:dyDescent="0.25">
      <c r="A92" s="35" t="s">
        <v>38</v>
      </c>
      <c r="B92" s="36" t="e">
        <f t="shared" ref="B92:K92" si="16">AVERAGE(B87:B91)</f>
        <v>#DIV/0!</v>
      </c>
      <c r="C92" s="37">
        <f t="shared" si="16"/>
        <v>67.3</v>
      </c>
      <c r="D92" s="38">
        <f t="shared" si="16"/>
        <v>64.563999999999993</v>
      </c>
      <c r="E92" s="39">
        <f t="shared" si="16"/>
        <v>18.934000000000001</v>
      </c>
      <c r="F92" s="37">
        <f t="shared" si="16"/>
        <v>62.068000000000005</v>
      </c>
      <c r="G92" s="38">
        <f t="shared" si="16"/>
        <v>0</v>
      </c>
      <c r="H92" s="38">
        <f t="shared" si="16"/>
        <v>2.0040000000000004</v>
      </c>
      <c r="I92" s="40">
        <f>AVERAGE(I87:I91)</f>
        <v>0.12072104637336505</v>
      </c>
      <c r="J92" s="38">
        <f t="shared" si="16"/>
        <v>12.02</v>
      </c>
      <c r="K92" s="39">
        <f t="shared" si="16"/>
        <v>0</v>
      </c>
    </row>
    <row r="93" spans="1:11" ht="15.75" thickBot="1" x14ac:dyDescent="0.3">
      <c r="A93" s="41" t="s">
        <v>39</v>
      </c>
      <c r="B93" s="42" t="e">
        <f t="shared" ref="B93:K93" si="17">STDEV(B87:B91)</f>
        <v>#DIV/0!</v>
      </c>
      <c r="C93" s="43">
        <f t="shared" si="17"/>
        <v>1.0706073042904194</v>
      </c>
      <c r="D93" s="44">
        <f t="shared" si="17"/>
        <v>0.52946199108151437</v>
      </c>
      <c r="E93" s="45">
        <f t="shared" si="17"/>
        <v>0.64709350174453117</v>
      </c>
      <c r="F93" s="43">
        <f t="shared" si="17"/>
        <v>16.791727725281824</v>
      </c>
      <c r="G93" s="44">
        <f t="shared" si="17"/>
        <v>0</v>
      </c>
      <c r="H93" s="44">
        <f t="shared" si="17"/>
        <v>0.38526614177734136</v>
      </c>
      <c r="I93" s="46">
        <f t="shared" si="17"/>
        <v>2.5919655800976205E-2</v>
      </c>
      <c r="J93" s="44">
        <f t="shared" si="17"/>
        <v>6.2687319291863206</v>
      </c>
      <c r="K93" s="45">
        <f t="shared" si="17"/>
        <v>0</v>
      </c>
    </row>
    <row r="95" spans="1:11" ht="15.75" thickBot="1" x14ac:dyDescent="0.3"/>
    <row r="96" spans="1:11" x14ac:dyDescent="0.25">
      <c r="A96" s="16" t="s">
        <v>41</v>
      </c>
      <c r="B96" s="14" t="s">
        <v>7</v>
      </c>
      <c r="C96" s="16" t="s">
        <v>6</v>
      </c>
      <c r="D96" s="19"/>
      <c r="E96" s="20"/>
      <c r="F96" s="16" t="s">
        <v>0</v>
      </c>
      <c r="G96" s="19"/>
      <c r="H96" s="19"/>
      <c r="I96" s="19"/>
      <c r="J96" s="19"/>
      <c r="K96" s="20"/>
    </row>
    <row r="97" spans="1:11" x14ac:dyDescent="0.25">
      <c r="A97" s="17"/>
      <c r="B97" s="15"/>
      <c r="C97" s="17"/>
      <c r="D97" s="18"/>
      <c r="E97" s="21"/>
      <c r="F97" s="17" t="s">
        <v>13</v>
      </c>
      <c r="G97" s="18"/>
      <c r="H97" s="18"/>
      <c r="I97" s="18"/>
      <c r="J97" s="18"/>
      <c r="K97" s="10">
        <v>43.5</v>
      </c>
    </row>
    <row r="98" spans="1:11" x14ac:dyDescent="0.25">
      <c r="A98" s="17"/>
      <c r="B98" s="15"/>
      <c r="C98" s="22" t="s">
        <v>24</v>
      </c>
      <c r="D98" s="25" t="s">
        <v>4</v>
      </c>
      <c r="E98" s="28" t="s">
        <v>5</v>
      </c>
      <c r="F98" s="31" t="s">
        <v>25</v>
      </c>
      <c r="G98" s="32"/>
      <c r="H98" s="32"/>
      <c r="I98" s="32"/>
      <c r="J98" s="33"/>
      <c r="K98" s="11">
        <v>0.2</v>
      </c>
    </row>
    <row r="99" spans="1:11" ht="25.5" x14ac:dyDescent="0.25">
      <c r="A99" s="17"/>
      <c r="B99" s="15"/>
      <c r="C99" s="23"/>
      <c r="D99" s="26"/>
      <c r="E99" s="29"/>
      <c r="F99" s="7" t="s">
        <v>18</v>
      </c>
      <c r="G99" s="8" t="s">
        <v>17</v>
      </c>
      <c r="H99" s="8" t="s">
        <v>20</v>
      </c>
      <c r="I99" s="8" t="s">
        <v>19</v>
      </c>
      <c r="J99" s="8" t="s">
        <v>22</v>
      </c>
      <c r="K99" s="4" t="s">
        <v>11</v>
      </c>
    </row>
    <row r="100" spans="1:11" x14ac:dyDescent="0.25">
      <c r="A100" s="17"/>
      <c r="B100" s="15"/>
      <c r="C100" s="24"/>
      <c r="D100" s="27"/>
      <c r="E100" s="30"/>
      <c r="F100" s="1" t="s">
        <v>14</v>
      </c>
      <c r="G100" s="2" t="s">
        <v>15</v>
      </c>
      <c r="H100" s="2" t="s">
        <v>16</v>
      </c>
      <c r="I100" s="2" t="s">
        <v>21</v>
      </c>
      <c r="J100" s="2" t="s">
        <v>23</v>
      </c>
      <c r="K100" s="4" t="s">
        <v>26</v>
      </c>
    </row>
    <row r="101" spans="1:11" x14ac:dyDescent="0.25">
      <c r="A101" s="17"/>
      <c r="B101" s="3" t="s">
        <v>8</v>
      </c>
      <c r="C101" s="1" t="s">
        <v>1</v>
      </c>
      <c r="D101" s="2" t="s">
        <v>1</v>
      </c>
      <c r="E101" s="4" t="s">
        <v>1</v>
      </c>
      <c r="F101" s="1" t="s">
        <v>2</v>
      </c>
      <c r="G101" s="2" t="s">
        <v>9</v>
      </c>
      <c r="H101" s="2" t="s">
        <v>1</v>
      </c>
      <c r="I101" s="2" t="s">
        <v>10</v>
      </c>
      <c r="J101" s="2" t="s">
        <v>3</v>
      </c>
      <c r="K101" s="4" t="s">
        <v>12</v>
      </c>
    </row>
    <row r="102" spans="1:11" x14ac:dyDescent="0.25">
      <c r="A102" s="5">
        <v>1</v>
      </c>
      <c r="B102" s="6"/>
      <c r="C102" s="6">
        <v>66.98</v>
      </c>
      <c r="D102" s="6">
        <v>65.75</v>
      </c>
      <c r="E102" s="6">
        <v>17.68</v>
      </c>
      <c r="F102" s="6">
        <v>39.9</v>
      </c>
      <c r="G102" s="12">
        <f>(3*F102*$K$18/1000)/((2*(C102/1000)*((E102/1000)^2)))/1000</f>
        <v>0</v>
      </c>
      <c r="H102" s="6">
        <v>1.6</v>
      </c>
      <c r="I102" s="13">
        <f>(6*(E102/1000)*(H102/1000))/(($K$97/1000)^2)</f>
        <v>8.9696393182719006E-2</v>
      </c>
      <c r="J102" s="6">
        <v>39.299999999999997</v>
      </c>
      <c r="K102" s="12">
        <f>((($K$18/1000)^3)*(J102*1000))/(4*(C102/1000)*((E102/1000)^3))/1000000</f>
        <v>0</v>
      </c>
    </row>
    <row r="103" spans="1:11" x14ac:dyDescent="0.25">
      <c r="A103" s="5">
        <v>2</v>
      </c>
      <c r="B103" s="6"/>
      <c r="C103" s="6">
        <v>63.34</v>
      </c>
      <c r="D103" s="6">
        <v>62.78</v>
      </c>
      <c r="E103" s="6">
        <v>19.420000000000002</v>
      </c>
      <c r="F103" s="6">
        <v>40.5</v>
      </c>
      <c r="G103" s="12">
        <f>(3*F103*$K$18/1000)/((2*(C103/1000)*((E103/1000)^2)))/1000</f>
        <v>0</v>
      </c>
      <c r="H103" s="6">
        <v>2.16</v>
      </c>
      <c r="I103" s="13">
        <f t="shared" ref="I103:I106" si="18">(6*(E103/1000)*(H103/1000))/(($K$97/1000)^2)</f>
        <v>0.13300737217598099</v>
      </c>
      <c r="J103" s="6">
        <v>19.899999999999999</v>
      </c>
      <c r="K103" s="12">
        <f>((($K$18/1000)^3)*(J103*1000))/(4*(C103/1000)*((E103/1000)^3))/1000000</f>
        <v>0</v>
      </c>
    </row>
    <row r="104" spans="1:11" x14ac:dyDescent="0.25">
      <c r="A104" s="5">
        <v>3</v>
      </c>
      <c r="B104" s="6"/>
      <c r="C104" s="6">
        <v>67.47</v>
      </c>
      <c r="D104" s="6">
        <v>65.88</v>
      </c>
      <c r="E104" s="6">
        <v>18.260000000000002</v>
      </c>
      <c r="F104" s="6">
        <v>31.7</v>
      </c>
      <c r="G104" s="12">
        <f>(3*F104*$K$18/1000)/((2*(C104/1000)*((E104/1000)^2)))/1000</f>
        <v>0</v>
      </c>
      <c r="H104" s="6">
        <v>1.3</v>
      </c>
      <c r="I104" s="13">
        <f t="shared" si="18"/>
        <v>7.5269124058660347E-2</v>
      </c>
      <c r="J104" s="6">
        <v>24.9</v>
      </c>
      <c r="K104" s="12">
        <f>((($K$18/1000)^3)*(J104*1000))/(4*(C104/1000)*((E104/1000)^3))/1000000</f>
        <v>0</v>
      </c>
    </row>
    <row r="105" spans="1:11" x14ac:dyDescent="0.25">
      <c r="A105" s="5">
        <v>4</v>
      </c>
      <c r="B105" s="6"/>
      <c r="C105" s="6">
        <v>71.05</v>
      </c>
      <c r="D105" s="6">
        <v>69.989999999999995</v>
      </c>
      <c r="E105" s="6">
        <v>18.190000000000001</v>
      </c>
      <c r="F105" s="6">
        <v>30.3</v>
      </c>
      <c r="G105" s="12">
        <f>(3*F105*$K$18/1000)/((2*(C105/1000)*((E105/1000)^2)))/1000</f>
        <v>0</v>
      </c>
      <c r="H105" s="6">
        <v>1.51</v>
      </c>
      <c r="I105" s="13">
        <f t="shared" si="18"/>
        <v>8.7092826000792739E-2</v>
      </c>
      <c r="J105" s="6">
        <v>27.1</v>
      </c>
      <c r="K105" s="12">
        <f>((($K$18/1000)^3)*(J105*1000))/(4*(C105/1000)*((E105/1000)^3))/1000000</f>
        <v>0</v>
      </c>
    </row>
    <row r="106" spans="1:11" x14ac:dyDescent="0.25">
      <c r="A106" s="5">
        <v>5</v>
      </c>
      <c r="B106" s="6"/>
      <c r="C106" s="6">
        <v>71.180000000000007</v>
      </c>
      <c r="D106" s="6">
        <v>66.03</v>
      </c>
      <c r="E106" s="6">
        <v>19.5</v>
      </c>
      <c r="F106" s="6">
        <v>35.200000000000003</v>
      </c>
      <c r="G106" s="12">
        <f>(3*F106*$K$18/1000)/((2*(C106/1000)*((E106/1000)^2)))/1000</f>
        <v>0</v>
      </c>
      <c r="H106" s="6">
        <v>2.48</v>
      </c>
      <c r="I106" s="13">
        <f t="shared" si="18"/>
        <v>0.15334126040428062</v>
      </c>
      <c r="J106" s="6">
        <v>19.100000000000001</v>
      </c>
      <c r="K106" s="12">
        <f>((($K$18/1000)^3)*(J106*1000))/(4*(C106/1000)*((E106/1000)^3))/1000000</f>
        <v>0</v>
      </c>
    </row>
    <row r="107" spans="1:11" x14ac:dyDescent="0.25">
      <c r="A107" s="35" t="s">
        <v>38</v>
      </c>
      <c r="B107" s="36" t="e">
        <f t="shared" ref="B107:K107" si="19">AVERAGE(B102:B106)</f>
        <v>#DIV/0!</v>
      </c>
      <c r="C107" s="37">
        <f t="shared" si="19"/>
        <v>68.003999999999991</v>
      </c>
      <c r="D107" s="38">
        <f t="shared" si="19"/>
        <v>66.085999999999984</v>
      </c>
      <c r="E107" s="39">
        <f t="shared" si="19"/>
        <v>18.61</v>
      </c>
      <c r="F107" s="37">
        <f t="shared" si="19"/>
        <v>35.520000000000003</v>
      </c>
      <c r="G107" s="38">
        <f t="shared" si="19"/>
        <v>0</v>
      </c>
      <c r="H107" s="38">
        <f t="shared" si="19"/>
        <v>1.81</v>
      </c>
      <c r="I107" s="40">
        <f t="shared" si="19"/>
        <v>0.10768139516448674</v>
      </c>
      <c r="J107" s="38">
        <f t="shared" si="19"/>
        <v>26.059999999999995</v>
      </c>
      <c r="K107" s="39">
        <f t="shared" si="19"/>
        <v>0</v>
      </c>
    </row>
    <row r="108" spans="1:11" ht="15.75" thickBot="1" x14ac:dyDescent="0.3">
      <c r="A108" s="41" t="s">
        <v>39</v>
      </c>
      <c r="B108" s="42" t="e">
        <f t="shared" ref="B108:K108" si="20">STDEV(B102:B106)</f>
        <v>#DIV/0!</v>
      </c>
      <c r="C108" s="43">
        <f t="shared" si="20"/>
        <v>3.2577492230065834</v>
      </c>
      <c r="D108" s="44">
        <f t="shared" si="20"/>
        <v>2.565605191762752</v>
      </c>
      <c r="E108" s="45">
        <f t="shared" si="20"/>
        <v>0.808084154033477</v>
      </c>
      <c r="F108" s="43">
        <f t="shared" si="20"/>
        <v>4.6348678514063097</v>
      </c>
      <c r="G108" s="44">
        <f t="shared" si="20"/>
        <v>0</v>
      </c>
      <c r="H108" s="44">
        <f t="shared" si="20"/>
        <v>0.49132473986152947</v>
      </c>
      <c r="I108" s="46">
        <f t="shared" si="20"/>
        <v>3.3630838526688779E-2</v>
      </c>
      <c r="J108" s="44">
        <f t="shared" si="20"/>
        <v>8.1257615027762249</v>
      </c>
      <c r="K108" s="45">
        <f t="shared" si="20"/>
        <v>0</v>
      </c>
    </row>
    <row r="110" spans="1:11" ht="15.75" thickBot="1" x14ac:dyDescent="0.3"/>
    <row r="111" spans="1:11" x14ac:dyDescent="0.25">
      <c r="A111" s="16" t="s">
        <v>42</v>
      </c>
      <c r="B111" s="14" t="s">
        <v>7</v>
      </c>
      <c r="C111" s="16" t="s">
        <v>6</v>
      </c>
      <c r="D111" s="19"/>
      <c r="E111" s="20"/>
      <c r="F111" s="16" t="s">
        <v>0</v>
      </c>
      <c r="G111" s="19"/>
      <c r="H111" s="19"/>
      <c r="I111" s="19"/>
      <c r="J111" s="19"/>
      <c r="K111" s="20"/>
    </row>
    <row r="112" spans="1:11" x14ac:dyDescent="0.25">
      <c r="A112" s="17"/>
      <c r="B112" s="15"/>
      <c r="C112" s="17"/>
      <c r="D112" s="18"/>
      <c r="E112" s="21"/>
      <c r="F112" s="17" t="s">
        <v>13</v>
      </c>
      <c r="G112" s="18"/>
      <c r="H112" s="18"/>
      <c r="I112" s="18"/>
      <c r="J112" s="18"/>
      <c r="K112" s="10">
        <v>43.5</v>
      </c>
    </row>
    <row r="113" spans="1:11" x14ac:dyDescent="0.25">
      <c r="A113" s="17"/>
      <c r="B113" s="15"/>
      <c r="C113" s="22" t="s">
        <v>24</v>
      </c>
      <c r="D113" s="25" t="s">
        <v>4</v>
      </c>
      <c r="E113" s="28" t="s">
        <v>5</v>
      </c>
      <c r="F113" s="31" t="s">
        <v>25</v>
      </c>
      <c r="G113" s="32"/>
      <c r="H113" s="32"/>
      <c r="I113" s="32"/>
      <c r="J113" s="33"/>
      <c r="K113" s="11">
        <v>0.2</v>
      </c>
    </row>
    <row r="114" spans="1:11" ht="25.5" x14ac:dyDescent="0.25">
      <c r="A114" s="17"/>
      <c r="B114" s="15"/>
      <c r="C114" s="23"/>
      <c r="D114" s="26"/>
      <c r="E114" s="29"/>
      <c r="F114" s="7" t="s">
        <v>18</v>
      </c>
      <c r="G114" s="8" t="s">
        <v>17</v>
      </c>
      <c r="H114" s="8" t="s">
        <v>20</v>
      </c>
      <c r="I114" s="8" t="s">
        <v>19</v>
      </c>
      <c r="J114" s="8" t="s">
        <v>22</v>
      </c>
      <c r="K114" s="4" t="s">
        <v>11</v>
      </c>
    </row>
    <row r="115" spans="1:11" x14ac:dyDescent="0.25">
      <c r="A115" s="17"/>
      <c r="B115" s="15"/>
      <c r="C115" s="24"/>
      <c r="D115" s="27"/>
      <c r="E115" s="30"/>
      <c r="F115" s="1" t="s">
        <v>14</v>
      </c>
      <c r="G115" s="2" t="s">
        <v>15</v>
      </c>
      <c r="H115" s="2" t="s">
        <v>16</v>
      </c>
      <c r="I115" s="2" t="s">
        <v>21</v>
      </c>
      <c r="J115" s="2" t="s">
        <v>23</v>
      </c>
      <c r="K115" s="4" t="s">
        <v>26</v>
      </c>
    </row>
    <row r="116" spans="1:11" x14ac:dyDescent="0.25">
      <c r="A116" s="17"/>
      <c r="B116" s="3" t="s">
        <v>8</v>
      </c>
      <c r="C116" s="1" t="s">
        <v>1</v>
      </c>
      <c r="D116" s="2" t="s">
        <v>1</v>
      </c>
      <c r="E116" s="4" t="s">
        <v>1</v>
      </c>
      <c r="F116" s="1" t="s">
        <v>2</v>
      </c>
      <c r="G116" s="2" t="s">
        <v>9</v>
      </c>
      <c r="H116" s="2" t="s">
        <v>1</v>
      </c>
      <c r="I116" s="2" t="s">
        <v>10</v>
      </c>
      <c r="J116" s="2" t="s">
        <v>3</v>
      </c>
      <c r="K116" s="4" t="s">
        <v>12</v>
      </c>
    </row>
    <row r="117" spans="1:11" x14ac:dyDescent="0.25">
      <c r="A117" s="5">
        <v>1</v>
      </c>
      <c r="B117" s="6"/>
      <c r="C117" s="6">
        <v>73.430000000000007</v>
      </c>
      <c r="D117" s="6">
        <v>63.41</v>
      </c>
      <c r="E117" s="6">
        <v>11.08</v>
      </c>
      <c r="F117" s="6">
        <v>46.1</v>
      </c>
      <c r="G117" s="12">
        <f>(3*F117*$K$18/1000)/((2*(C117/1000)*((E117/1000)^2)))/1000</f>
        <v>0</v>
      </c>
      <c r="H117" s="6">
        <v>1.3</v>
      </c>
      <c r="I117" s="13">
        <f>(6*(E117/1000)*(H117/1000))/(($K$112/1000)^2)</f>
        <v>4.5672611969877132E-2</v>
      </c>
      <c r="J117" s="6">
        <v>35.200000000000003</v>
      </c>
      <c r="K117" s="12">
        <f>((($K$18/1000)^3)*(J117*1000))/(4*(C117/1000)*((E117/1000)^3))/1000000</f>
        <v>0</v>
      </c>
    </row>
    <row r="118" spans="1:11" x14ac:dyDescent="0.25">
      <c r="A118" s="5">
        <v>2</v>
      </c>
      <c r="B118" s="6"/>
      <c r="C118" s="6">
        <v>69.319999999999993</v>
      </c>
      <c r="D118" s="6">
        <v>68.53</v>
      </c>
      <c r="E118" s="6">
        <v>11.71</v>
      </c>
      <c r="F118" s="6">
        <v>48.3</v>
      </c>
      <c r="G118" s="12">
        <f>(3*F118*$K$18/1000)/((2*(C118/1000)*((E118/1000)^2)))/1000</f>
        <v>0</v>
      </c>
      <c r="H118" s="6">
        <v>1.66</v>
      </c>
      <c r="I118" s="13">
        <f t="shared" ref="I118:I121" si="21">(6*(E118/1000)*(H118/1000))/(($K$112/1000)^2)</f>
        <v>6.1636464526357529E-2</v>
      </c>
      <c r="J118" s="6">
        <v>38.200000000000003</v>
      </c>
      <c r="K118" s="12">
        <f>((($K$18/1000)^3)*(J118*1000))/(4*(C118/1000)*((E118/1000)^3))/1000000</f>
        <v>0</v>
      </c>
    </row>
    <row r="119" spans="1:11" x14ac:dyDescent="0.25">
      <c r="A119" s="5">
        <v>3</v>
      </c>
      <c r="B119" s="6"/>
      <c r="C119" s="6">
        <v>68.27</v>
      </c>
      <c r="D119" s="6">
        <v>66.52</v>
      </c>
      <c r="E119" s="6">
        <v>11.04</v>
      </c>
      <c r="F119" s="6">
        <v>81.3</v>
      </c>
      <c r="G119" s="12">
        <f>(3*F119*$K$18/1000)/((2*(C119/1000)*((E119/1000)^2)))/1000</f>
        <v>0</v>
      </c>
      <c r="H119" s="6">
        <v>1.62</v>
      </c>
      <c r="I119" s="13">
        <f t="shared" si="21"/>
        <v>5.6709631391200957E-2</v>
      </c>
      <c r="J119" s="6">
        <v>88.4</v>
      </c>
      <c r="K119" s="12">
        <f>((($K$18/1000)^3)*(J119*1000))/(4*(C119/1000)*((E119/1000)^3))/1000000</f>
        <v>0</v>
      </c>
    </row>
    <row r="120" spans="1:11" x14ac:dyDescent="0.25">
      <c r="A120" s="5">
        <v>4</v>
      </c>
      <c r="B120" s="6"/>
      <c r="C120" s="6">
        <v>68.680000000000007</v>
      </c>
      <c r="D120" s="6">
        <v>63.65</v>
      </c>
      <c r="E120" s="6">
        <v>11.79</v>
      </c>
      <c r="F120" s="6">
        <v>61.4</v>
      </c>
      <c r="G120" s="12">
        <f>(3*F120*$K$18/1000)/((2*(C120/1000)*((E120/1000)^2)))/1000</f>
        <v>0</v>
      </c>
      <c r="H120" s="6">
        <v>1.1399999999999999</v>
      </c>
      <c r="I120" s="13">
        <f t="shared" si="21"/>
        <v>4.2617835909631391E-2</v>
      </c>
      <c r="J120" s="6">
        <v>81.599999999999994</v>
      </c>
      <c r="K120" s="12">
        <f>((($K$18/1000)^3)*(J120*1000))/(4*(C120/1000)*((E120/1000)^3))/1000000</f>
        <v>0</v>
      </c>
    </row>
    <row r="121" spans="1:11" x14ac:dyDescent="0.25">
      <c r="A121" s="5">
        <v>5</v>
      </c>
      <c r="B121" s="6"/>
      <c r="C121" s="6">
        <v>67.5</v>
      </c>
      <c r="D121" s="6">
        <v>65.5</v>
      </c>
      <c r="E121" s="6">
        <v>12.15</v>
      </c>
      <c r="F121" s="6">
        <v>52.4</v>
      </c>
      <c r="G121" s="12">
        <f>(3*F121*$K$18/1000)/((2*(C121/1000)*((E121/1000)^2)))/1000</f>
        <v>0</v>
      </c>
      <c r="H121" s="6">
        <v>1.42</v>
      </c>
      <c r="I121" s="13">
        <f t="shared" si="21"/>
        <v>5.4706302021403093E-2</v>
      </c>
      <c r="J121" s="6">
        <v>62.8</v>
      </c>
      <c r="K121" s="12">
        <f>((($K$18/1000)^3)*(J121*1000))/(4*(C121/1000)*((E121/1000)^3))/1000000</f>
        <v>0</v>
      </c>
    </row>
    <row r="122" spans="1:11" x14ac:dyDescent="0.25">
      <c r="A122" s="35" t="s">
        <v>38</v>
      </c>
      <c r="B122" s="36" t="e">
        <f t="shared" ref="B122:K122" si="22">AVERAGE(B117:B121)</f>
        <v>#DIV/0!</v>
      </c>
      <c r="C122" s="37">
        <f t="shared" si="22"/>
        <v>69.44</v>
      </c>
      <c r="D122" s="38">
        <f t="shared" si="22"/>
        <v>65.521999999999991</v>
      </c>
      <c r="E122" s="39">
        <f t="shared" si="22"/>
        <v>11.553999999999998</v>
      </c>
      <c r="F122" s="37">
        <f t="shared" si="22"/>
        <v>57.9</v>
      </c>
      <c r="G122" s="38">
        <f t="shared" si="22"/>
        <v>0</v>
      </c>
      <c r="H122" s="38">
        <f t="shared" si="22"/>
        <v>1.4279999999999999</v>
      </c>
      <c r="I122" s="40">
        <f t="shared" si="22"/>
        <v>5.2268569163694024E-2</v>
      </c>
      <c r="J122" s="38">
        <f t="shared" si="22"/>
        <v>61.239999999999995</v>
      </c>
      <c r="K122" s="39">
        <f t="shared" si="22"/>
        <v>0</v>
      </c>
    </row>
    <row r="123" spans="1:11" ht="15.75" thickBot="1" x14ac:dyDescent="0.3">
      <c r="A123" s="41" t="s">
        <v>39</v>
      </c>
      <c r="B123" s="42" t="e">
        <f t="shared" ref="B123:K123" si="23">STDEV(B117:B121)</f>
        <v>#DIV/0!</v>
      </c>
      <c r="C123" s="43">
        <f t="shared" si="23"/>
        <v>2.3261878685953148</v>
      </c>
      <c r="D123" s="44">
        <f t="shared" si="23"/>
        <v>2.1218788843852527</v>
      </c>
      <c r="E123" s="45">
        <f t="shared" si="23"/>
        <v>0.48065580200388747</v>
      </c>
      <c r="F123" s="43">
        <f t="shared" si="23"/>
        <v>14.330561747538015</v>
      </c>
      <c r="G123" s="44">
        <f t="shared" si="23"/>
        <v>0</v>
      </c>
      <c r="H123" s="44">
        <f t="shared" si="23"/>
        <v>0.21799082549501941</v>
      </c>
      <c r="I123" s="46">
        <f t="shared" si="23"/>
        <v>7.9067430457124086E-3</v>
      </c>
      <c r="J123" s="44">
        <f t="shared" si="23"/>
        <v>24.308187920945503</v>
      </c>
      <c r="K123" s="45">
        <f t="shared" si="23"/>
        <v>0</v>
      </c>
    </row>
    <row r="125" spans="1:11" ht="15.75" thickBot="1" x14ac:dyDescent="0.3"/>
    <row r="126" spans="1:11" x14ac:dyDescent="0.25">
      <c r="A126" s="16" t="s">
        <v>43</v>
      </c>
      <c r="B126" s="14" t="s">
        <v>7</v>
      </c>
      <c r="C126" s="16" t="s">
        <v>6</v>
      </c>
      <c r="D126" s="19"/>
      <c r="E126" s="20"/>
      <c r="F126" s="16" t="s">
        <v>0</v>
      </c>
      <c r="G126" s="19"/>
      <c r="H126" s="19"/>
      <c r="I126" s="19"/>
      <c r="J126" s="19"/>
      <c r="K126" s="20"/>
    </row>
    <row r="127" spans="1:11" x14ac:dyDescent="0.25">
      <c r="A127" s="17"/>
      <c r="B127" s="15"/>
      <c r="C127" s="17"/>
      <c r="D127" s="18"/>
      <c r="E127" s="21"/>
      <c r="F127" s="17" t="s">
        <v>13</v>
      </c>
      <c r="G127" s="18"/>
      <c r="H127" s="18"/>
      <c r="I127" s="18"/>
      <c r="J127" s="18"/>
      <c r="K127" s="10">
        <v>43.5</v>
      </c>
    </row>
    <row r="128" spans="1:11" x14ac:dyDescent="0.25">
      <c r="A128" s="17"/>
      <c r="B128" s="15"/>
      <c r="C128" s="22" t="s">
        <v>24</v>
      </c>
      <c r="D128" s="25" t="s">
        <v>4</v>
      </c>
      <c r="E128" s="28" t="s">
        <v>5</v>
      </c>
      <c r="F128" s="31" t="s">
        <v>25</v>
      </c>
      <c r="G128" s="32"/>
      <c r="H128" s="32"/>
      <c r="I128" s="32"/>
      <c r="J128" s="33"/>
      <c r="K128" s="11">
        <v>0.2</v>
      </c>
    </row>
    <row r="129" spans="1:11" ht="25.5" x14ac:dyDescent="0.25">
      <c r="A129" s="17"/>
      <c r="B129" s="15"/>
      <c r="C129" s="23"/>
      <c r="D129" s="26"/>
      <c r="E129" s="29"/>
      <c r="F129" s="7" t="s">
        <v>18</v>
      </c>
      <c r="G129" s="8" t="s">
        <v>17</v>
      </c>
      <c r="H129" s="8" t="s">
        <v>20</v>
      </c>
      <c r="I129" s="8" t="s">
        <v>19</v>
      </c>
      <c r="J129" s="8" t="s">
        <v>22</v>
      </c>
      <c r="K129" s="4" t="s">
        <v>11</v>
      </c>
    </row>
    <row r="130" spans="1:11" x14ac:dyDescent="0.25">
      <c r="A130" s="17"/>
      <c r="B130" s="15"/>
      <c r="C130" s="24"/>
      <c r="D130" s="27"/>
      <c r="E130" s="30"/>
      <c r="F130" s="1" t="s">
        <v>14</v>
      </c>
      <c r="G130" s="2" t="s">
        <v>15</v>
      </c>
      <c r="H130" s="2" t="s">
        <v>16</v>
      </c>
      <c r="I130" s="2" t="s">
        <v>21</v>
      </c>
      <c r="J130" s="2" t="s">
        <v>23</v>
      </c>
      <c r="K130" s="4" t="s">
        <v>26</v>
      </c>
    </row>
    <row r="131" spans="1:11" x14ac:dyDescent="0.25">
      <c r="A131" s="17"/>
      <c r="B131" s="3" t="s">
        <v>8</v>
      </c>
      <c r="C131" s="1" t="s">
        <v>1</v>
      </c>
      <c r="D131" s="2" t="s">
        <v>1</v>
      </c>
      <c r="E131" s="4" t="s">
        <v>1</v>
      </c>
      <c r="F131" s="1" t="s">
        <v>2</v>
      </c>
      <c r="G131" s="2" t="s">
        <v>9</v>
      </c>
      <c r="H131" s="2" t="s">
        <v>1</v>
      </c>
      <c r="I131" s="2" t="s">
        <v>10</v>
      </c>
      <c r="J131" s="2" t="s">
        <v>3</v>
      </c>
      <c r="K131" s="4" t="s">
        <v>12</v>
      </c>
    </row>
    <row r="132" spans="1:11" x14ac:dyDescent="0.25">
      <c r="A132" s="5">
        <v>1</v>
      </c>
      <c r="B132" s="6"/>
      <c r="C132" s="6">
        <v>62.02</v>
      </c>
      <c r="D132" s="6">
        <v>61.17</v>
      </c>
      <c r="E132" s="6">
        <v>14.05</v>
      </c>
      <c r="F132" s="6">
        <v>37.9</v>
      </c>
      <c r="G132" s="12">
        <f>(3*F132*$K$18/1000)/((2*(C132/1000)*((E132/1000)^2)))/1000</f>
        <v>0</v>
      </c>
      <c r="H132" s="6">
        <v>1.63</v>
      </c>
      <c r="I132" s="13">
        <f>(6*(E132/1000)*(H132/1000))/(($K$127/1000)^2)</f>
        <v>7.2616726119698771E-2</v>
      </c>
      <c r="J132" s="6">
        <v>34.5</v>
      </c>
      <c r="K132" s="12">
        <f>((($K$18/1000)^3)*(J132*1000))/(4*(C132/1000)*((E132/1000)^3))/1000000</f>
        <v>0</v>
      </c>
    </row>
    <row r="133" spans="1:11" x14ac:dyDescent="0.25">
      <c r="A133" s="5">
        <v>2</v>
      </c>
      <c r="B133" s="6"/>
      <c r="C133" s="6">
        <v>68.63</v>
      </c>
      <c r="D133" s="6">
        <v>62.62</v>
      </c>
      <c r="E133" s="6">
        <v>15.25</v>
      </c>
      <c r="F133" s="6">
        <v>35.1</v>
      </c>
      <c r="G133" s="12">
        <f>(3*F133*$K$18/1000)/((2*(C133/1000)*((E133/1000)^2)))/1000</f>
        <v>0</v>
      </c>
      <c r="H133" s="6">
        <v>1.62</v>
      </c>
      <c r="I133" s="13">
        <f t="shared" ref="I133:I136" si="24">(6*(E133/1000)*(H133/1000))/(($K$127/1000)^2)</f>
        <v>7.8335315101070169E-2</v>
      </c>
      <c r="J133" s="6">
        <v>26.9</v>
      </c>
      <c r="K133" s="12">
        <f>((($K$18/1000)^3)*(J133*1000))/(4*(C133/1000)*((E133/1000)^3))/1000000</f>
        <v>0</v>
      </c>
    </row>
    <row r="134" spans="1:11" x14ac:dyDescent="0.25">
      <c r="A134" s="5">
        <v>3</v>
      </c>
      <c r="B134" s="6"/>
      <c r="C134" s="6">
        <v>68.08</v>
      </c>
      <c r="D134" s="6">
        <v>61.93</v>
      </c>
      <c r="E134" s="6">
        <v>14.87</v>
      </c>
      <c r="F134" s="6">
        <v>38.299999999999997</v>
      </c>
      <c r="G134" s="12">
        <f>(3*F134*$K$18/1000)/((2*(C134/1000)*((E134/1000)^2)))/1000</f>
        <v>0</v>
      </c>
      <c r="H134" s="6">
        <v>1.38</v>
      </c>
      <c r="I134" s="13">
        <f t="shared" si="24"/>
        <v>6.506730083234244E-2</v>
      </c>
      <c r="J134" s="6">
        <v>49.3</v>
      </c>
      <c r="K134" s="12">
        <f>((($K$18/1000)^3)*(J134*1000))/(4*(C134/1000)*((E134/1000)^3))/1000000</f>
        <v>0</v>
      </c>
    </row>
    <row r="135" spans="1:11" x14ac:dyDescent="0.25">
      <c r="A135" s="5">
        <v>4</v>
      </c>
      <c r="B135" s="6"/>
      <c r="C135" s="6">
        <v>70.25</v>
      </c>
      <c r="D135" s="6">
        <v>67.72</v>
      </c>
      <c r="E135" s="6">
        <v>15.74</v>
      </c>
      <c r="F135" s="6">
        <v>33.299999999999997</v>
      </c>
      <c r="G135" s="12">
        <f>(3*F135*$K$18/1000)/((2*(C135/1000)*((E135/1000)^2)))/1000</f>
        <v>0</v>
      </c>
      <c r="H135" s="6">
        <v>1.42</v>
      </c>
      <c r="I135" s="13">
        <f t="shared" si="24"/>
        <v>7.087055093143084E-2</v>
      </c>
      <c r="J135" s="6">
        <v>38.799999999999997</v>
      </c>
      <c r="K135" s="12">
        <f>((($K$18/1000)^3)*(J135*1000))/(4*(C135/1000)*((E135/1000)^3))/1000000</f>
        <v>0</v>
      </c>
    </row>
    <row r="136" spans="1:11" x14ac:dyDescent="0.25">
      <c r="A136" s="5">
        <v>5</v>
      </c>
      <c r="B136" s="6"/>
      <c r="C136" s="6">
        <v>67.17</v>
      </c>
      <c r="D136" s="6">
        <v>66.34</v>
      </c>
      <c r="E136" s="6">
        <v>13.42</v>
      </c>
      <c r="F136" s="6">
        <v>29.8</v>
      </c>
      <c r="G136" s="12">
        <f>(3*F136*$K$18/1000)/((2*(C136/1000)*((E136/1000)^2)))/1000</f>
        <v>0</v>
      </c>
      <c r="H136" s="6">
        <v>1.7</v>
      </c>
      <c r="I136" s="13">
        <f t="shared" si="24"/>
        <v>7.2339278636543797E-2</v>
      </c>
      <c r="J136" s="6">
        <v>35.1</v>
      </c>
      <c r="K136" s="12">
        <f>((($K$18/1000)^3)*(J136*1000))/(4*(C136/1000)*((E136/1000)^3))/1000000</f>
        <v>0</v>
      </c>
    </row>
    <row r="137" spans="1:11" x14ac:dyDescent="0.25">
      <c r="A137" s="35" t="s">
        <v>38</v>
      </c>
      <c r="B137" s="36" t="e">
        <f t="shared" ref="B137:K137" si="25">AVERAGE(B132:B136)</f>
        <v>#DIV/0!</v>
      </c>
      <c r="C137" s="37">
        <f t="shared" si="25"/>
        <v>67.23</v>
      </c>
      <c r="D137" s="38">
        <f t="shared" si="25"/>
        <v>63.955999999999996</v>
      </c>
      <c r="E137" s="39">
        <f t="shared" si="25"/>
        <v>14.666</v>
      </c>
      <c r="F137" s="37">
        <f t="shared" si="25"/>
        <v>34.880000000000003</v>
      </c>
      <c r="G137" s="38">
        <f t="shared" si="25"/>
        <v>0</v>
      </c>
      <c r="H137" s="38">
        <f t="shared" si="25"/>
        <v>1.55</v>
      </c>
      <c r="I137" s="40">
        <f t="shared" si="25"/>
        <v>7.1845834324217206E-2</v>
      </c>
      <c r="J137" s="38">
        <f t="shared" si="25"/>
        <v>36.92</v>
      </c>
      <c r="K137" s="39">
        <f t="shared" si="25"/>
        <v>0</v>
      </c>
    </row>
    <row r="138" spans="1:11" ht="15.75" thickBot="1" x14ac:dyDescent="0.3">
      <c r="A138" s="41" t="s">
        <v>39</v>
      </c>
      <c r="B138" s="42" t="e">
        <f t="shared" ref="B138:K138" si="26">STDEV(B132:B136)</f>
        <v>#DIV/0!</v>
      </c>
      <c r="C138" s="43">
        <f t="shared" si="26"/>
        <v>3.120520789868253</v>
      </c>
      <c r="D138" s="44">
        <f t="shared" si="26"/>
        <v>2.8940680710722755</v>
      </c>
      <c r="E138" s="45">
        <f t="shared" si="26"/>
        <v>0.9311444571064148</v>
      </c>
      <c r="F138" s="43">
        <f t="shared" si="26"/>
        <v>3.5059948659403357</v>
      </c>
      <c r="G138" s="44">
        <f t="shared" si="26"/>
        <v>0</v>
      </c>
      <c r="H138" s="44">
        <f t="shared" si="26"/>
        <v>0.14106735979665888</v>
      </c>
      <c r="I138" s="46">
        <f t="shared" si="26"/>
        <v>4.7394835214283944E-3</v>
      </c>
      <c r="J138" s="44">
        <f t="shared" si="26"/>
        <v>8.1603921474399801</v>
      </c>
      <c r="K138" s="45">
        <f t="shared" si="26"/>
        <v>0</v>
      </c>
    </row>
    <row r="140" spans="1:11" ht="15.75" thickBot="1" x14ac:dyDescent="0.3"/>
    <row r="141" spans="1:11" x14ac:dyDescent="0.25">
      <c r="A141" s="16" t="s">
        <v>44</v>
      </c>
      <c r="B141" s="14" t="s">
        <v>7</v>
      </c>
      <c r="C141" s="16" t="s">
        <v>6</v>
      </c>
      <c r="D141" s="19"/>
      <c r="E141" s="20"/>
      <c r="F141" s="16" t="s">
        <v>0</v>
      </c>
      <c r="G141" s="19"/>
      <c r="H141" s="19"/>
      <c r="I141" s="19"/>
      <c r="J141" s="19"/>
      <c r="K141" s="20"/>
    </row>
    <row r="142" spans="1:11" x14ac:dyDescent="0.25">
      <c r="A142" s="17"/>
      <c r="B142" s="15"/>
      <c r="C142" s="17"/>
      <c r="D142" s="18"/>
      <c r="E142" s="21"/>
      <c r="F142" s="17" t="s">
        <v>13</v>
      </c>
      <c r="G142" s="18"/>
      <c r="H142" s="18"/>
      <c r="I142" s="18"/>
      <c r="J142" s="18"/>
      <c r="K142" s="10">
        <v>43.5</v>
      </c>
    </row>
    <row r="143" spans="1:11" x14ac:dyDescent="0.25">
      <c r="A143" s="17"/>
      <c r="B143" s="15"/>
      <c r="C143" s="22" t="s">
        <v>24</v>
      </c>
      <c r="D143" s="25" t="s">
        <v>4</v>
      </c>
      <c r="E143" s="28" t="s">
        <v>5</v>
      </c>
      <c r="F143" s="31" t="s">
        <v>25</v>
      </c>
      <c r="G143" s="32"/>
      <c r="H143" s="32"/>
      <c r="I143" s="32"/>
      <c r="J143" s="33"/>
      <c r="K143" s="11">
        <v>0.2</v>
      </c>
    </row>
    <row r="144" spans="1:11" ht="25.5" x14ac:dyDescent="0.25">
      <c r="A144" s="17"/>
      <c r="B144" s="15"/>
      <c r="C144" s="23"/>
      <c r="D144" s="26"/>
      <c r="E144" s="29"/>
      <c r="F144" s="7" t="s">
        <v>18</v>
      </c>
      <c r="G144" s="8" t="s">
        <v>17</v>
      </c>
      <c r="H144" s="8" t="s">
        <v>20</v>
      </c>
      <c r="I144" s="8" t="s">
        <v>19</v>
      </c>
      <c r="J144" s="8" t="s">
        <v>22</v>
      </c>
      <c r="K144" s="4" t="s">
        <v>11</v>
      </c>
    </row>
    <row r="145" spans="1:11" x14ac:dyDescent="0.25">
      <c r="A145" s="17"/>
      <c r="B145" s="15"/>
      <c r="C145" s="24"/>
      <c r="D145" s="27"/>
      <c r="E145" s="30"/>
      <c r="F145" s="1" t="s">
        <v>14</v>
      </c>
      <c r="G145" s="2" t="s">
        <v>15</v>
      </c>
      <c r="H145" s="2" t="s">
        <v>16</v>
      </c>
      <c r="I145" s="2" t="s">
        <v>21</v>
      </c>
      <c r="J145" s="2" t="s">
        <v>23</v>
      </c>
      <c r="K145" s="4" t="s">
        <v>26</v>
      </c>
    </row>
    <row r="146" spans="1:11" x14ac:dyDescent="0.25">
      <c r="A146" s="17"/>
      <c r="B146" s="3" t="s">
        <v>8</v>
      </c>
      <c r="C146" s="1" t="s">
        <v>1</v>
      </c>
      <c r="D146" s="2" t="s">
        <v>1</v>
      </c>
      <c r="E146" s="4" t="s">
        <v>1</v>
      </c>
      <c r="F146" s="1" t="s">
        <v>2</v>
      </c>
      <c r="G146" s="2" t="s">
        <v>9</v>
      </c>
      <c r="H146" s="2" t="s">
        <v>1</v>
      </c>
      <c r="I146" s="2" t="s">
        <v>10</v>
      </c>
      <c r="J146" s="2" t="s">
        <v>3</v>
      </c>
      <c r="K146" s="4" t="s">
        <v>12</v>
      </c>
    </row>
    <row r="147" spans="1:11" x14ac:dyDescent="0.25">
      <c r="A147" s="5">
        <v>1</v>
      </c>
      <c r="B147" s="6"/>
      <c r="C147" s="6">
        <v>67.599999999999994</v>
      </c>
      <c r="D147" s="6">
        <v>66.91</v>
      </c>
      <c r="E147" s="6">
        <v>15.05</v>
      </c>
      <c r="F147" s="6">
        <v>40.700000000000003</v>
      </c>
      <c r="G147" s="12">
        <f>(3*F147*$K$18/1000)/((2*(C147/1000)*((E147/1000)^2)))/1000</f>
        <v>0</v>
      </c>
      <c r="H147" s="6">
        <v>1.33</v>
      </c>
      <c r="I147" s="13">
        <f>(6*(E147/1000)*(H147/1000))/(($K$142/1000)^2)</f>
        <v>6.3468886246531908E-2</v>
      </c>
      <c r="J147" s="6">
        <v>40.700000000000003</v>
      </c>
      <c r="K147" s="12">
        <f>((($K$18/1000)^3)*(J147*1000))/(4*(C147/1000)*((E147/1000)^3))/1000000</f>
        <v>0</v>
      </c>
    </row>
    <row r="148" spans="1:11" x14ac:dyDescent="0.25">
      <c r="A148" s="5">
        <v>2</v>
      </c>
      <c r="B148" s="6"/>
      <c r="C148" s="6">
        <v>69.37</v>
      </c>
      <c r="D148" s="6">
        <v>66.930000000000007</v>
      </c>
      <c r="E148" s="6">
        <v>15.46</v>
      </c>
      <c r="F148" s="6">
        <v>30.1</v>
      </c>
      <c r="G148" s="12">
        <f>(3*F148*$K$18/1000)/((2*(C148/1000)*((E148/1000)^2)))/1000</f>
        <v>0</v>
      </c>
      <c r="H148" s="6">
        <v>1.34</v>
      </c>
      <c r="I148" s="13">
        <f t="shared" ref="I148:I151" si="27">(6*(E148/1000)*(H148/1000))/(($K$142/1000)^2)</f>
        <v>6.5688149028933815E-2</v>
      </c>
      <c r="J148" s="6">
        <v>25.8</v>
      </c>
      <c r="K148" s="12">
        <f>((($K$18/1000)^3)*(J148*1000))/(4*(C148/1000)*((E148/1000)^3))/1000000</f>
        <v>0</v>
      </c>
    </row>
    <row r="149" spans="1:11" x14ac:dyDescent="0.25">
      <c r="A149" s="5">
        <v>3</v>
      </c>
      <c r="B149" s="6"/>
      <c r="C149" s="6">
        <v>67.900000000000006</v>
      </c>
      <c r="D149" s="6">
        <v>65.37</v>
      </c>
      <c r="E149" s="6">
        <v>14.69</v>
      </c>
      <c r="F149" s="6">
        <v>33.200000000000003</v>
      </c>
      <c r="G149" s="12">
        <f>(3*F149*$K$18/1000)/((2*(C149/1000)*((E149/1000)^2)))/1000</f>
        <v>0</v>
      </c>
      <c r="H149" s="6">
        <v>1.43</v>
      </c>
      <c r="I149" s="13">
        <f t="shared" si="27"/>
        <v>6.6608640507332548E-2</v>
      </c>
      <c r="J149" s="6">
        <v>26.9</v>
      </c>
      <c r="K149" s="12">
        <f>((($K$18/1000)^3)*(J149*1000))/(4*(C149/1000)*((E149/1000)^3))/1000000</f>
        <v>0</v>
      </c>
    </row>
    <row r="150" spans="1:11" x14ac:dyDescent="0.25">
      <c r="A150" s="5">
        <v>4</v>
      </c>
      <c r="B150" s="6"/>
      <c r="C150" s="6">
        <v>65.84</v>
      </c>
      <c r="D150" s="6">
        <v>64.930000000000007</v>
      </c>
      <c r="E150" s="6">
        <v>13.66</v>
      </c>
      <c r="F150" s="6">
        <v>26.4</v>
      </c>
      <c r="G150" s="12">
        <f>(3*F150*$K$18/1000)/((2*(C150/1000)*((E150/1000)^2)))/1000</f>
        <v>0</v>
      </c>
      <c r="H150" s="6">
        <v>1.39</v>
      </c>
      <c r="I150" s="13">
        <f t="shared" si="27"/>
        <v>6.0205786761791523E-2</v>
      </c>
      <c r="J150" s="6">
        <v>21.9</v>
      </c>
      <c r="K150" s="12">
        <f>((($K$18/1000)^3)*(J150*1000))/(4*(C150/1000)*((E150/1000)^3))/1000000</f>
        <v>0</v>
      </c>
    </row>
    <row r="151" spans="1:11" x14ac:dyDescent="0.25">
      <c r="A151" s="5">
        <v>5</v>
      </c>
      <c r="B151" s="6"/>
      <c r="C151" s="6">
        <v>65.3</v>
      </c>
      <c r="D151" s="6">
        <v>64.37</v>
      </c>
      <c r="E151" s="6">
        <v>13.83</v>
      </c>
      <c r="F151" s="6">
        <v>31</v>
      </c>
      <c r="G151" s="12">
        <f>(3*F151*$K$18/1000)/((2*(C151/1000)*((E151/1000)^2)))/1000</f>
        <v>0</v>
      </c>
      <c r="H151" s="6">
        <v>1.01</v>
      </c>
      <c r="I151" s="13">
        <f t="shared" si="27"/>
        <v>4.429108204518431E-2</v>
      </c>
      <c r="J151" s="6">
        <v>36.700000000000003</v>
      </c>
      <c r="K151" s="12">
        <f>((($K$18/1000)^3)*(J151*1000))/(4*(C151/1000)*((E151/1000)^3))/1000000</f>
        <v>0</v>
      </c>
    </row>
    <row r="152" spans="1:11" x14ac:dyDescent="0.25">
      <c r="A152" s="35" t="s">
        <v>38</v>
      </c>
      <c r="B152" s="36" t="e">
        <f t="shared" ref="B152:K152" si="28">AVERAGE(B147:B151)</f>
        <v>#DIV/0!</v>
      </c>
      <c r="C152" s="37">
        <f t="shared" si="28"/>
        <v>67.202000000000012</v>
      </c>
      <c r="D152" s="38">
        <f t="shared" si="28"/>
        <v>65.701999999999998</v>
      </c>
      <c r="E152" s="39">
        <f t="shared" si="28"/>
        <v>14.538</v>
      </c>
      <c r="F152" s="37">
        <f t="shared" si="28"/>
        <v>32.28</v>
      </c>
      <c r="G152" s="38">
        <f t="shared" si="28"/>
        <v>0</v>
      </c>
      <c r="H152" s="38">
        <f t="shared" si="28"/>
        <v>1.2999999999999998</v>
      </c>
      <c r="I152" s="40">
        <f t="shared" si="28"/>
        <v>6.0052508917954814E-2</v>
      </c>
      <c r="J152" s="38">
        <f t="shared" si="28"/>
        <v>30.4</v>
      </c>
      <c r="K152" s="39">
        <f t="shared" si="28"/>
        <v>0</v>
      </c>
    </row>
    <row r="153" spans="1:11" ht="15.75" thickBot="1" x14ac:dyDescent="0.3">
      <c r="A153" s="41" t="s">
        <v>39</v>
      </c>
      <c r="B153" s="42" t="e">
        <f t="shared" ref="B153:K153" si="29">STDEV(B147:B151)</f>
        <v>#DIV/0!</v>
      </c>
      <c r="C153" s="43">
        <f t="shared" si="29"/>
        <v>1.6445728928813117</v>
      </c>
      <c r="D153" s="44">
        <f t="shared" si="29"/>
        <v>1.1670132818438683</v>
      </c>
      <c r="E153" s="45">
        <f t="shared" si="29"/>
        <v>0.7758028099974893</v>
      </c>
      <c r="F153" s="43">
        <f t="shared" si="29"/>
        <v>5.3082012019138967</v>
      </c>
      <c r="G153" s="44">
        <f t="shared" si="29"/>
        <v>0</v>
      </c>
      <c r="H153" s="44">
        <f t="shared" si="29"/>
        <v>0.16703293088490276</v>
      </c>
      <c r="I153" s="46">
        <f t="shared" si="29"/>
        <v>9.1496038997875735E-3</v>
      </c>
      <c r="J153" s="44">
        <f t="shared" si="29"/>
        <v>7.9284298571659129</v>
      </c>
      <c r="K153" s="45">
        <f t="shared" si="29"/>
        <v>0</v>
      </c>
    </row>
    <row r="155" spans="1:11" ht="15.75" thickBot="1" x14ac:dyDescent="0.3"/>
    <row r="156" spans="1:11" x14ac:dyDescent="0.25">
      <c r="A156" s="16" t="s">
        <v>45</v>
      </c>
      <c r="B156" s="14" t="s">
        <v>7</v>
      </c>
      <c r="C156" s="16" t="s">
        <v>6</v>
      </c>
      <c r="D156" s="19"/>
      <c r="E156" s="20"/>
      <c r="F156" s="16" t="s">
        <v>0</v>
      </c>
      <c r="G156" s="19"/>
      <c r="H156" s="19"/>
      <c r="I156" s="19"/>
      <c r="J156" s="19"/>
      <c r="K156" s="20"/>
    </row>
    <row r="157" spans="1:11" x14ac:dyDescent="0.25">
      <c r="A157" s="17"/>
      <c r="B157" s="15"/>
      <c r="C157" s="17"/>
      <c r="D157" s="18"/>
      <c r="E157" s="21"/>
      <c r="F157" s="17" t="s">
        <v>13</v>
      </c>
      <c r="G157" s="18"/>
      <c r="H157" s="18"/>
      <c r="I157" s="18"/>
      <c r="J157" s="18"/>
      <c r="K157" s="10">
        <v>43.5</v>
      </c>
    </row>
    <row r="158" spans="1:11" x14ac:dyDescent="0.25">
      <c r="A158" s="17"/>
      <c r="B158" s="15"/>
      <c r="C158" s="22" t="s">
        <v>24</v>
      </c>
      <c r="D158" s="25" t="s">
        <v>4</v>
      </c>
      <c r="E158" s="28" t="s">
        <v>5</v>
      </c>
      <c r="F158" s="31" t="s">
        <v>25</v>
      </c>
      <c r="G158" s="32"/>
      <c r="H158" s="32"/>
      <c r="I158" s="32"/>
      <c r="J158" s="33"/>
      <c r="K158" s="11">
        <v>0.2</v>
      </c>
    </row>
    <row r="159" spans="1:11" ht="25.5" x14ac:dyDescent="0.25">
      <c r="A159" s="17"/>
      <c r="B159" s="15"/>
      <c r="C159" s="23"/>
      <c r="D159" s="26"/>
      <c r="E159" s="29"/>
      <c r="F159" s="7" t="s">
        <v>18</v>
      </c>
      <c r="G159" s="8" t="s">
        <v>17</v>
      </c>
      <c r="H159" s="8" t="s">
        <v>20</v>
      </c>
      <c r="I159" s="8" t="s">
        <v>19</v>
      </c>
      <c r="J159" s="8" t="s">
        <v>22</v>
      </c>
      <c r="K159" s="4" t="s">
        <v>11</v>
      </c>
    </row>
    <row r="160" spans="1:11" x14ac:dyDescent="0.25">
      <c r="A160" s="17"/>
      <c r="B160" s="15"/>
      <c r="C160" s="24"/>
      <c r="D160" s="27"/>
      <c r="E160" s="30"/>
      <c r="F160" s="1" t="s">
        <v>14</v>
      </c>
      <c r="G160" s="2" t="s">
        <v>15</v>
      </c>
      <c r="H160" s="2" t="s">
        <v>16</v>
      </c>
      <c r="I160" s="2" t="s">
        <v>21</v>
      </c>
      <c r="J160" s="2" t="s">
        <v>23</v>
      </c>
      <c r="K160" s="4" t="s">
        <v>26</v>
      </c>
    </row>
    <row r="161" spans="1:11" x14ac:dyDescent="0.25">
      <c r="A161" s="17"/>
      <c r="B161" s="3" t="s">
        <v>8</v>
      </c>
      <c r="C161" s="1" t="s">
        <v>1</v>
      </c>
      <c r="D161" s="2" t="s">
        <v>1</v>
      </c>
      <c r="E161" s="4" t="s">
        <v>1</v>
      </c>
      <c r="F161" s="1" t="s">
        <v>2</v>
      </c>
      <c r="G161" s="2" t="s">
        <v>9</v>
      </c>
      <c r="H161" s="2" t="s">
        <v>1</v>
      </c>
      <c r="I161" s="2" t="s">
        <v>10</v>
      </c>
      <c r="J161" s="2" t="s">
        <v>3</v>
      </c>
      <c r="K161" s="4" t="s">
        <v>12</v>
      </c>
    </row>
    <row r="162" spans="1:11" x14ac:dyDescent="0.25">
      <c r="A162" s="5">
        <v>1</v>
      </c>
      <c r="B162" s="6"/>
      <c r="C162" s="6">
        <v>65.099999999999994</v>
      </c>
      <c r="D162" s="6">
        <v>63.33</v>
      </c>
      <c r="E162" s="6">
        <v>14.7</v>
      </c>
      <c r="F162" s="6">
        <v>23.5</v>
      </c>
      <c r="G162" s="12">
        <f>(3*F162*$K$18/1000)/((2*(C162/1000)*((E162/1000)^2)))/1000</f>
        <v>0</v>
      </c>
      <c r="H162" s="6">
        <v>1.29</v>
      </c>
      <c r="I162" s="13">
        <f>(6*(E162/1000)*(H162/1000))/(($K$157/1000)^2)</f>
        <v>6.0128418549346023E-2</v>
      </c>
      <c r="J162" s="6">
        <v>20.3</v>
      </c>
      <c r="K162" s="12">
        <f>((($K$18/1000)^3)*(J162*1000))/(4*(C162/1000)*((E162/1000)^3))/1000000</f>
        <v>0</v>
      </c>
    </row>
    <row r="163" spans="1:11" x14ac:dyDescent="0.25">
      <c r="A163" s="5">
        <v>2</v>
      </c>
      <c r="B163" s="6"/>
      <c r="C163" s="6">
        <v>70.52</v>
      </c>
      <c r="D163" s="6">
        <v>69.86</v>
      </c>
      <c r="E163" s="6">
        <v>14.13</v>
      </c>
      <c r="F163" s="6">
        <v>18.899999999999999</v>
      </c>
      <c r="G163" s="12">
        <f>(3*F163*$K$18/1000)/((2*(C163/1000)*((E163/1000)^2)))/1000</f>
        <v>0</v>
      </c>
      <c r="H163" s="6">
        <v>1.1100000000000001</v>
      </c>
      <c r="I163" s="13">
        <f t="shared" ref="I163:I166" si="30">(6*(E163/1000)*(H163/1000))/(($K$157/1000)^2)</f>
        <v>4.9732223543400712E-2</v>
      </c>
      <c r="J163" s="6">
        <v>25.9</v>
      </c>
      <c r="K163" s="12">
        <f>((($K$18/1000)^3)*(J163*1000))/(4*(C163/1000)*((E163/1000)^3))/1000000</f>
        <v>0</v>
      </c>
    </row>
    <row r="164" spans="1:11" x14ac:dyDescent="0.25">
      <c r="A164" s="5">
        <v>3</v>
      </c>
      <c r="B164" s="6"/>
      <c r="C164" s="6">
        <v>69.81</v>
      </c>
      <c r="D164" s="6">
        <v>69.38</v>
      </c>
      <c r="E164" s="6">
        <v>13.56</v>
      </c>
      <c r="F164" s="6">
        <v>21</v>
      </c>
      <c r="G164" s="12">
        <f>(3*F164*$K$18/1000)/((2*(C164/1000)*((E164/1000)^2)))/1000</f>
        <v>0</v>
      </c>
      <c r="H164" s="6">
        <v>1.59</v>
      </c>
      <c r="I164" s="13">
        <f t="shared" si="30"/>
        <v>6.8364328180737219E-2</v>
      </c>
      <c r="J164" s="6">
        <v>23.5</v>
      </c>
      <c r="K164" s="12">
        <f>((($K$18/1000)^3)*(J164*1000))/(4*(C164/1000)*((E164/1000)^3))/1000000</f>
        <v>0</v>
      </c>
    </row>
    <row r="165" spans="1:11" x14ac:dyDescent="0.25">
      <c r="A165" s="5">
        <v>4</v>
      </c>
      <c r="B165" s="6"/>
      <c r="C165" s="6">
        <v>69.400000000000006</v>
      </c>
      <c r="D165" s="6">
        <v>67.48</v>
      </c>
      <c r="E165" s="6">
        <v>14.83</v>
      </c>
      <c r="F165" s="6">
        <v>25.7</v>
      </c>
      <c r="G165" s="12">
        <f>(3*F165*$K$18/1000)/((2*(C165/1000)*((E165/1000)^2)))/1000</f>
        <v>0</v>
      </c>
      <c r="H165" s="6">
        <v>1.1299999999999999</v>
      </c>
      <c r="I165" s="13">
        <f t="shared" si="30"/>
        <v>5.313642489100278E-2</v>
      </c>
      <c r="J165" s="6">
        <v>29.7</v>
      </c>
      <c r="K165" s="12">
        <f>((($K$18/1000)^3)*(J165*1000))/(4*(C165/1000)*((E165/1000)^3))/1000000</f>
        <v>0</v>
      </c>
    </row>
    <row r="166" spans="1:11" x14ac:dyDescent="0.25">
      <c r="A166" s="5">
        <v>5</v>
      </c>
      <c r="B166" s="6"/>
      <c r="C166" s="6">
        <v>66.25</v>
      </c>
      <c r="D166" s="6">
        <v>65.91</v>
      </c>
      <c r="E166" s="6">
        <v>13.94</v>
      </c>
      <c r="F166" s="6">
        <v>19.8</v>
      </c>
      <c r="G166" s="12">
        <f>(3*F166*$K$18/1000)/((2*(C166/1000)*((E166/1000)^2)))/1000</f>
        <v>0</v>
      </c>
      <c r="H166" s="6">
        <v>1.37</v>
      </c>
      <c r="I166" s="13">
        <f t="shared" si="30"/>
        <v>6.0555846214823628E-2</v>
      </c>
      <c r="J166" s="6">
        <v>21.5</v>
      </c>
      <c r="K166" s="12">
        <f>((($K$18/1000)^3)*(J166*1000))/(4*(C166/1000)*((E166/1000)^3))/1000000</f>
        <v>0</v>
      </c>
    </row>
    <row r="167" spans="1:11" x14ac:dyDescent="0.25">
      <c r="A167" s="35" t="s">
        <v>38</v>
      </c>
      <c r="B167" s="36" t="e">
        <f t="shared" ref="B167:K167" si="31">AVERAGE(B162:B166)</f>
        <v>#DIV/0!</v>
      </c>
      <c r="C167" s="37">
        <f t="shared" si="31"/>
        <v>68.216000000000008</v>
      </c>
      <c r="D167" s="38">
        <f t="shared" si="31"/>
        <v>67.192000000000007</v>
      </c>
      <c r="E167" s="39">
        <f t="shared" si="31"/>
        <v>14.231999999999999</v>
      </c>
      <c r="F167" s="37">
        <f t="shared" si="31"/>
        <v>21.779999999999998</v>
      </c>
      <c r="G167" s="38">
        <f t="shared" si="31"/>
        <v>0</v>
      </c>
      <c r="H167" s="38">
        <f t="shared" si="31"/>
        <v>1.298</v>
      </c>
      <c r="I167" s="40">
        <f t="shared" si="31"/>
        <v>5.8383448275862074E-2</v>
      </c>
      <c r="J167" s="38">
        <f t="shared" si="31"/>
        <v>24.18</v>
      </c>
      <c r="K167" s="39">
        <f t="shared" si="31"/>
        <v>0</v>
      </c>
    </row>
    <row r="168" spans="1:11" ht="15.75" thickBot="1" x14ac:dyDescent="0.3">
      <c r="A168" s="41" t="s">
        <v>39</v>
      </c>
      <c r="B168" s="42" t="e">
        <f t="shared" ref="B168:K168" si="32">STDEV(B162:B166)</f>
        <v>#DIV/0!</v>
      </c>
      <c r="C168" s="43">
        <f t="shared" si="32"/>
        <v>2.3888135130227326</v>
      </c>
      <c r="D168" s="44">
        <f t="shared" si="32"/>
        <v>2.6714733762476466</v>
      </c>
      <c r="E168" s="45">
        <f t="shared" si="32"/>
        <v>0.53006603362222682</v>
      </c>
      <c r="F168" s="43">
        <f t="shared" si="32"/>
        <v>2.7905196648653363</v>
      </c>
      <c r="G168" s="44">
        <f t="shared" si="32"/>
        <v>0</v>
      </c>
      <c r="H168" s="44">
        <f t="shared" si="32"/>
        <v>0.1962651268055538</v>
      </c>
      <c r="I168" s="46">
        <f t="shared" si="32"/>
        <v>7.2414974540646456E-3</v>
      </c>
      <c r="J168" s="44">
        <f t="shared" si="32"/>
        <v>3.7459311259017998</v>
      </c>
      <c r="K168" s="45">
        <f t="shared" si="32"/>
        <v>0</v>
      </c>
    </row>
    <row r="170" spans="1:11" ht="15.75" thickBot="1" x14ac:dyDescent="0.3"/>
    <row r="171" spans="1:11" x14ac:dyDescent="0.25">
      <c r="A171" s="16" t="s">
        <v>46</v>
      </c>
      <c r="B171" s="14" t="s">
        <v>7</v>
      </c>
      <c r="C171" s="16" t="s">
        <v>6</v>
      </c>
      <c r="D171" s="19"/>
      <c r="E171" s="20"/>
      <c r="F171" s="16" t="s">
        <v>0</v>
      </c>
      <c r="G171" s="19"/>
      <c r="H171" s="19"/>
      <c r="I171" s="19"/>
      <c r="J171" s="19"/>
      <c r="K171" s="20"/>
    </row>
    <row r="172" spans="1:11" x14ac:dyDescent="0.25">
      <c r="A172" s="17"/>
      <c r="B172" s="15"/>
      <c r="C172" s="17"/>
      <c r="D172" s="18"/>
      <c r="E172" s="21"/>
      <c r="F172" s="17" t="s">
        <v>13</v>
      </c>
      <c r="G172" s="18"/>
      <c r="H172" s="18"/>
      <c r="I172" s="18"/>
      <c r="J172" s="18"/>
      <c r="K172" s="10">
        <v>43.5</v>
      </c>
    </row>
    <row r="173" spans="1:11" x14ac:dyDescent="0.25">
      <c r="A173" s="17"/>
      <c r="B173" s="15"/>
      <c r="C173" s="22" t="s">
        <v>24</v>
      </c>
      <c r="D173" s="25" t="s">
        <v>4</v>
      </c>
      <c r="E173" s="28" t="s">
        <v>5</v>
      </c>
      <c r="F173" s="31" t="s">
        <v>25</v>
      </c>
      <c r="G173" s="32"/>
      <c r="H173" s="32"/>
      <c r="I173" s="32"/>
      <c r="J173" s="33"/>
      <c r="K173" s="11">
        <v>0.2</v>
      </c>
    </row>
    <row r="174" spans="1:11" ht="25.5" x14ac:dyDescent="0.25">
      <c r="A174" s="17"/>
      <c r="B174" s="15"/>
      <c r="C174" s="23"/>
      <c r="D174" s="26"/>
      <c r="E174" s="29"/>
      <c r="F174" s="7" t="s">
        <v>18</v>
      </c>
      <c r="G174" s="8" t="s">
        <v>17</v>
      </c>
      <c r="H174" s="8" t="s">
        <v>20</v>
      </c>
      <c r="I174" s="8" t="s">
        <v>19</v>
      </c>
      <c r="J174" s="8" t="s">
        <v>22</v>
      </c>
      <c r="K174" s="4" t="s">
        <v>11</v>
      </c>
    </row>
    <row r="175" spans="1:11" x14ac:dyDescent="0.25">
      <c r="A175" s="17"/>
      <c r="B175" s="15"/>
      <c r="C175" s="24"/>
      <c r="D175" s="27"/>
      <c r="E175" s="30"/>
      <c r="F175" s="1" t="s">
        <v>14</v>
      </c>
      <c r="G175" s="2" t="s">
        <v>15</v>
      </c>
      <c r="H175" s="2" t="s">
        <v>16</v>
      </c>
      <c r="I175" s="2" t="s">
        <v>21</v>
      </c>
      <c r="J175" s="2" t="s">
        <v>23</v>
      </c>
      <c r="K175" s="4" t="s">
        <v>26</v>
      </c>
    </row>
    <row r="176" spans="1:11" x14ac:dyDescent="0.25">
      <c r="A176" s="17"/>
      <c r="B176" s="3" t="s">
        <v>8</v>
      </c>
      <c r="C176" s="1" t="s">
        <v>1</v>
      </c>
      <c r="D176" s="2" t="s">
        <v>1</v>
      </c>
      <c r="E176" s="4" t="s">
        <v>1</v>
      </c>
      <c r="F176" s="1" t="s">
        <v>2</v>
      </c>
      <c r="G176" s="2" t="s">
        <v>9</v>
      </c>
      <c r="H176" s="2" t="s">
        <v>1</v>
      </c>
      <c r="I176" s="2" t="s">
        <v>10</v>
      </c>
      <c r="J176" s="2" t="s">
        <v>3</v>
      </c>
      <c r="K176" s="4" t="s">
        <v>12</v>
      </c>
    </row>
    <row r="177" spans="1:11" x14ac:dyDescent="0.25">
      <c r="A177" s="5">
        <v>1</v>
      </c>
      <c r="B177" s="6"/>
      <c r="C177" s="6">
        <v>61.53</v>
      </c>
      <c r="D177" s="6">
        <v>60.83</v>
      </c>
      <c r="E177" s="6">
        <v>6.88</v>
      </c>
      <c r="F177" s="6">
        <v>17.600000000000001</v>
      </c>
      <c r="G177" s="12">
        <f>(3*F177*$K$18/1000)/((2*(C177/1000)*((E177/1000)^2)))/1000</f>
        <v>0</v>
      </c>
      <c r="H177" s="6">
        <v>0.48</v>
      </c>
      <c r="I177" s="13">
        <f>(6*(E177/1000)*(H177/1000))/(($K$172/1000)^2)</f>
        <v>1.0471343638525565E-2</v>
      </c>
      <c r="J177" s="6">
        <v>64.3</v>
      </c>
      <c r="K177" s="12">
        <f>((($K$18/1000)^3)*(J177*1000))/(4*(C177/1000)*((E177/1000)^3))/1000000</f>
        <v>0</v>
      </c>
    </row>
    <row r="178" spans="1:11" x14ac:dyDescent="0.25">
      <c r="A178" s="5">
        <v>2</v>
      </c>
      <c r="B178" s="6"/>
      <c r="C178" s="6">
        <v>61.33</v>
      </c>
      <c r="D178" s="6">
        <v>60.13</v>
      </c>
      <c r="E178" s="6">
        <v>7.01</v>
      </c>
      <c r="F178" s="6">
        <v>18.3</v>
      </c>
      <c r="G178" s="12">
        <f>(3*F178*$K$18/1000)/((2*(C178/1000)*((E178/1000)^2)))/1000</f>
        <v>0</v>
      </c>
      <c r="H178" s="6">
        <v>0.25</v>
      </c>
      <c r="I178" s="13">
        <f t="shared" ref="I178:I181" si="33">(6*(E178/1000)*(H178/1000))/(($K$172/1000)^2)</f>
        <v>5.5568767340467701E-3</v>
      </c>
      <c r="J178" s="6">
        <v>83.4</v>
      </c>
      <c r="K178" s="12">
        <f>((($K$18/1000)^3)*(J178*1000))/(4*(C178/1000)*((E178/1000)^3))/1000000</f>
        <v>0</v>
      </c>
    </row>
    <row r="179" spans="1:11" x14ac:dyDescent="0.25">
      <c r="A179" s="5">
        <v>3</v>
      </c>
      <c r="B179" s="6"/>
      <c r="C179" s="6">
        <v>61.28</v>
      </c>
      <c r="D179" s="6">
        <v>60.71</v>
      </c>
      <c r="E179" s="6">
        <v>6.51</v>
      </c>
      <c r="F179" s="6">
        <v>26.9</v>
      </c>
      <c r="G179" s="12">
        <f>(3*F179*$K$18/1000)/((2*(C179/1000)*((E179/1000)^2)))/1000</f>
        <v>0</v>
      </c>
      <c r="H179" s="6">
        <v>0.38</v>
      </c>
      <c r="I179" s="13">
        <f t="shared" si="33"/>
        <v>7.8439952437574321E-3</v>
      </c>
      <c r="J179" s="6">
        <v>96.9</v>
      </c>
      <c r="K179" s="12">
        <f>((($K$18/1000)^3)*(J179*1000))/(4*(C179/1000)*((E179/1000)^3))/1000000</f>
        <v>0</v>
      </c>
    </row>
    <row r="180" spans="1:11" x14ac:dyDescent="0.25">
      <c r="A180" s="5">
        <v>4</v>
      </c>
      <c r="B180" s="6"/>
      <c r="C180" s="6">
        <v>61.4</v>
      </c>
      <c r="D180" s="6">
        <v>60.62</v>
      </c>
      <c r="E180" s="6">
        <v>6.93</v>
      </c>
      <c r="F180" s="6">
        <v>28.3</v>
      </c>
      <c r="G180" s="12">
        <f>(3*F180*$K$18/1000)/((2*(C180/1000)*((E180/1000)^2)))/1000</f>
        <v>0</v>
      </c>
      <c r="H180" s="6">
        <v>0.41</v>
      </c>
      <c r="I180" s="13">
        <f t="shared" si="33"/>
        <v>9.0092746730083238E-3</v>
      </c>
      <c r="J180" s="6">
        <v>90.2</v>
      </c>
      <c r="K180" s="12">
        <f>((($K$18/1000)^3)*(J180*1000))/(4*(C180/1000)*((E180/1000)^3))/1000000</f>
        <v>0</v>
      </c>
    </row>
    <row r="181" spans="1:11" x14ac:dyDescent="0.25">
      <c r="A181" s="5">
        <v>5</v>
      </c>
      <c r="B181" s="6"/>
      <c r="C181" s="6">
        <v>61.59</v>
      </c>
      <c r="D181" s="6">
        <v>60.84</v>
      </c>
      <c r="E181" s="6">
        <v>7.17</v>
      </c>
      <c r="F181" s="6">
        <v>8.6</v>
      </c>
      <c r="G181" s="12">
        <f>(3*F181*$K$18/1000)/((2*(C181/1000)*((E181/1000)^2)))/1000</f>
        <v>0</v>
      </c>
      <c r="H181" s="6">
        <v>0.26</v>
      </c>
      <c r="I181" s="13">
        <f t="shared" si="33"/>
        <v>5.9110582639714648E-3</v>
      </c>
      <c r="J181" s="6">
        <v>32.4</v>
      </c>
      <c r="K181" s="12">
        <f>((($K$18/1000)^3)*(J181*1000))/(4*(C181/1000)*((E181/1000)^3))/1000000</f>
        <v>0</v>
      </c>
    </row>
    <row r="182" spans="1:11" x14ac:dyDescent="0.25">
      <c r="A182" s="35" t="s">
        <v>38</v>
      </c>
      <c r="B182" s="36" t="e">
        <f t="shared" ref="B182:K182" si="34">AVERAGE(B177:B181)</f>
        <v>#DIV/0!</v>
      </c>
      <c r="C182" s="37">
        <f t="shared" si="34"/>
        <v>61.426000000000002</v>
      </c>
      <c r="D182" s="38">
        <f t="shared" si="34"/>
        <v>60.625999999999998</v>
      </c>
      <c r="E182" s="39">
        <f t="shared" si="34"/>
        <v>6.9</v>
      </c>
      <c r="F182" s="37">
        <f t="shared" si="34"/>
        <v>19.940000000000001</v>
      </c>
      <c r="G182" s="38">
        <f t="shared" si="34"/>
        <v>0</v>
      </c>
      <c r="H182" s="38">
        <f t="shared" si="34"/>
        <v>0.35599999999999998</v>
      </c>
      <c r="I182" s="40">
        <f t="shared" si="34"/>
        <v>7.7585097106619124E-3</v>
      </c>
      <c r="J182" s="38">
        <f t="shared" si="34"/>
        <v>73.44</v>
      </c>
      <c r="K182" s="39">
        <f t="shared" si="34"/>
        <v>0</v>
      </c>
    </row>
    <row r="183" spans="1:11" ht="15.75" thickBot="1" x14ac:dyDescent="0.3">
      <c r="A183" s="41" t="s">
        <v>39</v>
      </c>
      <c r="B183" s="42" t="e">
        <f t="shared" ref="B183:K183" si="35">STDEV(B177:B181)</f>
        <v>#DIV/0!</v>
      </c>
      <c r="C183" s="43">
        <f t="shared" si="35"/>
        <v>0.13126309458488458</v>
      </c>
      <c r="D183" s="44">
        <f t="shared" si="35"/>
        <v>0.29177045772318966</v>
      </c>
      <c r="E183" s="45">
        <f t="shared" si="35"/>
        <v>0.2441311123146741</v>
      </c>
      <c r="F183" s="43">
        <f t="shared" si="35"/>
        <v>7.9857998973177402</v>
      </c>
      <c r="G183" s="44">
        <f t="shared" si="35"/>
        <v>0</v>
      </c>
      <c r="H183" s="44">
        <f t="shared" si="35"/>
        <v>9.9146356463563665E-2</v>
      </c>
      <c r="I183" s="46">
        <f t="shared" si="35"/>
        <v>2.0731288731750406E-3</v>
      </c>
      <c r="J183" s="44">
        <f t="shared" si="35"/>
        <v>25.972543194689294</v>
      </c>
      <c r="K183" s="45">
        <f t="shared" si="35"/>
        <v>0</v>
      </c>
    </row>
    <row r="185" spans="1:11" ht="15.75" thickBot="1" x14ac:dyDescent="0.3"/>
    <row r="186" spans="1:11" x14ac:dyDescent="0.25">
      <c r="A186" s="16" t="s">
        <v>47</v>
      </c>
      <c r="B186" s="14" t="s">
        <v>7</v>
      </c>
      <c r="C186" s="16" t="s">
        <v>6</v>
      </c>
      <c r="D186" s="19"/>
      <c r="E186" s="20"/>
      <c r="F186" s="16" t="s">
        <v>0</v>
      </c>
      <c r="G186" s="19"/>
      <c r="H186" s="19"/>
      <c r="I186" s="19"/>
      <c r="J186" s="19"/>
      <c r="K186" s="20"/>
    </row>
    <row r="187" spans="1:11" x14ac:dyDescent="0.25">
      <c r="A187" s="17"/>
      <c r="B187" s="15"/>
      <c r="C187" s="17"/>
      <c r="D187" s="18"/>
      <c r="E187" s="21"/>
      <c r="F187" s="17" t="s">
        <v>13</v>
      </c>
      <c r="G187" s="18"/>
      <c r="H187" s="18"/>
      <c r="I187" s="18"/>
      <c r="J187" s="18"/>
      <c r="K187" s="10">
        <v>43.5</v>
      </c>
    </row>
    <row r="188" spans="1:11" x14ac:dyDescent="0.25">
      <c r="A188" s="17"/>
      <c r="B188" s="15"/>
      <c r="C188" s="22" t="s">
        <v>24</v>
      </c>
      <c r="D188" s="25" t="s">
        <v>4</v>
      </c>
      <c r="E188" s="28" t="s">
        <v>5</v>
      </c>
      <c r="F188" s="31" t="s">
        <v>25</v>
      </c>
      <c r="G188" s="32"/>
      <c r="H188" s="32"/>
      <c r="I188" s="32"/>
      <c r="J188" s="33"/>
      <c r="K188" s="11">
        <v>0.2</v>
      </c>
    </row>
    <row r="189" spans="1:11" ht="25.5" x14ac:dyDescent="0.25">
      <c r="A189" s="17"/>
      <c r="B189" s="15"/>
      <c r="C189" s="23"/>
      <c r="D189" s="26"/>
      <c r="E189" s="29"/>
      <c r="F189" s="7" t="s">
        <v>18</v>
      </c>
      <c r="G189" s="8" t="s">
        <v>17</v>
      </c>
      <c r="H189" s="8" t="s">
        <v>20</v>
      </c>
      <c r="I189" s="8" t="s">
        <v>19</v>
      </c>
      <c r="J189" s="8" t="s">
        <v>22</v>
      </c>
      <c r="K189" s="4" t="s">
        <v>11</v>
      </c>
    </row>
    <row r="190" spans="1:11" x14ac:dyDescent="0.25">
      <c r="A190" s="17"/>
      <c r="B190" s="15"/>
      <c r="C190" s="24"/>
      <c r="D190" s="27"/>
      <c r="E190" s="30"/>
      <c r="F190" s="1" t="s">
        <v>14</v>
      </c>
      <c r="G190" s="2" t="s">
        <v>15</v>
      </c>
      <c r="H190" s="2" t="s">
        <v>16</v>
      </c>
      <c r="I190" s="2" t="s">
        <v>21</v>
      </c>
      <c r="J190" s="2" t="s">
        <v>23</v>
      </c>
      <c r="K190" s="4" t="s">
        <v>26</v>
      </c>
    </row>
    <row r="191" spans="1:11" x14ac:dyDescent="0.25">
      <c r="A191" s="17"/>
      <c r="B191" s="3" t="s">
        <v>8</v>
      </c>
      <c r="C191" s="1" t="s">
        <v>1</v>
      </c>
      <c r="D191" s="2" t="s">
        <v>1</v>
      </c>
      <c r="E191" s="4" t="s">
        <v>1</v>
      </c>
      <c r="F191" s="1" t="s">
        <v>2</v>
      </c>
      <c r="G191" s="2" t="s">
        <v>9</v>
      </c>
      <c r="H191" s="2" t="s">
        <v>1</v>
      </c>
      <c r="I191" s="2" t="s">
        <v>10</v>
      </c>
      <c r="J191" s="2" t="s">
        <v>3</v>
      </c>
      <c r="K191" s="4" t="s">
        <v>12</v>
      </c>
    </row>
    <row r="192" spans="1:11" x14ac:dyDescent="0.25">
      <c r="A192" s="5">
        <v>1</v>
      </c>
      <c r="B192" s="6"/>
      <c r="C192" s="6">
        <v>64.16</v>
      </c>
      <c r="D192" s="6">
        <v>56.36</v>
      </c>
      <c r="E192" s="6">
        <v>5.81</v>
      </c>
      <c r="F192" s="6">
        <v>17.8</v>
      </c>
      <c r="G192" s="12">
        <f>(3*F192*$K$18/1000)/((2*(C192/1000)*((E192/1000)^2)))/1000</f>
        <v>0</v>
      </c>
      <c r="H192" s="6">
        <v>0.71</v>
      </c>
      <c r="I192" s="13">
        <f>(6*(E192/1000)*(H192/1000))/(($K$187/1000)^2)</f>
        <v>1.3079984145858103E-2</v>
      </c>
      <c r="J192" s="6">
        <v>34.1</v>
      </c>
      <c r="K192" s="12">
        <f>((($K$18/1000)^3)*(J192*1000))/(4*(C192/1000)*((E192/1000)^3))/1000000</f>
        <v>0</v>
      </c>
    </row>
    <row r="193" spans="1:11" x14ac:dyDescent="0.25">
      <c r="A193" s="5">
        <v>2</v>
      </c>
      <c r="B193" s="6"/>
      <c r="C193" s="6">
        <v>63.82</v>
      </c>
      <c r="D193" s="6">
        <v>55.67</v>
      </c>
      <c r="E193" s="6">
        <v>5.59</v>
      </c>
      <c r="F193" s="6">
        <v>10.4</v>
      </c>
      <c r="G193" s="12">
        <f>(3*F193*$K$18/1000)/((2*(C193/1000)*((E193/1000)^2)))/1000</f>
        <v>0</v>
      </c>
      <c r="H193" s="6">
        <v>1.37</v>
      </c>
      <c r="I193" s="13">
        <f t="shared" ref="I193:I196" si="36">(6*(E193/1000)*(H193/1000))/(($K$187/1000)^2)</f>
        <v>2.4283154974237026E-2</v>
      </c>
      <c r="J193" s="6">
        <v>15.8</v>
      </c>
      <c r="K193" s="12">
        <f>((($K$18/1000)^3)*(J193*1000))/(4*(C193/1000)*((E193/1000)^3))/1000000</f>
        <v>0</v>
      </c>
    </row>
    <row r="194" spans="1:11" x14ac:dyDescent="0.25">
      <c r="A194" s="5">
        <v>3</v>
      </c>
      <c r="B194" s="6"/>
      <c r="C194" s="6">
        <v>64.150000000000006</v>
      </c>
      <c r="D194" s="6">
        <v>56.14</v>
      </c>
      <c r="E194" s="6">
        <v>5.6</v>
      </c>
      <c r="F194" s="6">
        <v>16.399999999999999</v>
      </c>
      <c r="G194" s="12">
        <f>(3*F194*$K$18/1000)/((2*(C194/1000)*((E194/1000)^2)))/1000</f>
        <v>0</v>
      </c>
      <c r="H194" s="6">
        <v>0.75</v>
      </c>
      <c r="I194" s="13">
        <f t="shared" si="36"/>
        <v>1.3317479191438764E-2</v>
      </c>
      <c r="J194" s="6">
        <v>22.2</v>
      </c>
      <c r="K194" s="12">
        <f>((($K$18/1000)^3)*(J194*1000))/(4*(C194/1000)*((E194/1000)^3))/1000000</f>
        <v>0</v>
      </c>
    </row>
    <row r="195" spans="1:11" x14ac:dyDescent="0.25">
      <c r="A195" s="5">
        <v>4</v>
      </c>
      <c r="B195" s="6"/>
      <c r="C195" s="6">
        <v>64.930000000000007</v>
      </c>
      <c r="D195" s="6">
        <v>55.99</v>
      </c>
      <c r="E195" s="6">
        <v>5.5</v>
      </c>
      <c r="F195" s="6">
        <v>13.2</v>
      </c>
      <c r="G195" s="12">
        <f>(3*F195*$K$18/1000)/((2*(C195/1000)*((E195/1000)^2)))/1000</f>
        <v>0</v>
      </c>
      <c r="H195" s="6">
        <v>0.81</v>
      </c>
      <c r="I195" s="13">
        <f t="shared" si="36"/>
        <v>1.4126040428061834E-2</v>
      </c>
      <c r="J195" s="6">
        <v>25.4</v>
      </c>
      <c r="K195" s="12">
        <f>((($K$18/1000)^3)*(J195*1000))/(4*(C195/1000)*((E195/1000)^3))/1000000</f>
        <v>0</v>
      </c>
    </row>
    <row r="196" spans="1:11" x14ac:dyDescent="0.25">
      <c r="A196" s="5">
        <v>5</v>
      </c>
      <c r="B196" s="6"/>
      <c r="C196" s="6">
        <v>63.5</v>
      </c>
      <c r="D196" s="6">
        <v>56.44</v>
      </c>
      <c r="E196" s="6">
        <v>5.86</v>
      </c>
      <c r="F196" s="6">
        <v>13.4</v>
      </c>
      <c r="G196" s="12">
        <f>(3*F196*$K$18/1000)/((2*(C196/1000)*((E196/1000)^2)))/1000</f>
        <v>0</v>
      </c>
      <c r="H196" s="6">
        <v>0.94</v>
      </c>
      <c r="I196" s="13">
        <f t="shared" si="36"/>
        <v>1.7466191042409835E-2</v>
      </c>
      <c r="J196" s="6">
        <v>34.4</v>
      </c>
      <c r="K196" s="12">
        <f>((($K$18/1000)^3)*(J196*1000))/(4*(C196/1000)*((E196/1000)^3))/1000000</f>
        <v>0</v>
      </c>
    </row>
    <row r="197" spans="1:11" x14ac:dyDescent="0.25">
      <c r="A197" s="35" t="s">
        <v>38</v>
      </c>
      <c r="B197" s="36" t="e">
        <f t="shared" ref="B197:K197" si="37">AVERAGE(B192:B196)</f>
        <v>#DIV/0!</v>
      </c>
      <c r="C197" s="37">
        <f t="shared" si="37"/>
        <v>64.111999999999995</v>
      </c>
      <c r="D197" s="38">
        <f t="shared" si="37"/>
        <v>56.120000000000005</v>
      </c>
      <c r="E197" s="39">
        <f t="shared" si="37"/>
        <v>5.6719999999999997</v>
      </c>
      <c r="F197" s="37">
        <f t="shared" si="37"/>
        <v>14.24</v>
      </c>
      <c r="G197" s="38">
        <f t="shared" si="37"/>
        <v>0</v>
      </c>
      <c r="H197" s="38">
        <f t="shared" si="37"/>
        <v>0.91600000000000004</v>
      </c>
      <c r="I197" s="40">
        <f t="shared" si="37"/>
        <v>1.645456995640111E-2</v>
      </c>
      <c r="J197" s="38">
        <f t="shared" si="37"/>
        <v>26.380000000000003</v>
      </c>
      <c r="K197" s="39">
        <f t="shared" si="37"/>
        <v>0</v>
      </c>
    </row>
    <row r="198" spans="1:11" ht="15.75" thickBot="1" x14ac:dyDescent="0.3">
      <c r="A198" s="41" t="s">
        <v>39</v>
      </c>
      <c r="B198" s="42" t="e">
        <f t="shared" ref="B198:K198" si="38">STDEV(B192:B196)</f>
        <v>#DIV/0!</v>
      </c>
      <c r="C198" s="43">
        <f t="shared" si="38"/>
        <v>0.53213720035344525</v>
      </c>
      <c r="D198" s="44">
        <f t="shared" si="38"/>
        <v>0.30813957876261056</v>
      </c>
      <c r="E198" s="45">
        <f t="shared" si="38"/>
        <v>0.15482247898803331</v>
      </c>
      <c r="F198" s="43">
        <f t="shared" si="38"/>
        <v>2.9099828178186828</v>
      </c>
      <c r="G198" s="44">
        <f t="shared" si="38"/>
        <v>0</v>
      </c>
      <c r="H198" s="44">
        <f t="shared" si="38"/>
        <v>0.26829088691194847</v>
      </c>
      <c r="I198" s="46">
        <f t="shared" si="38"/>
        <v>4.7159659198254657E-3</v>
      </c>
      <c r="J198" s="44">
        <f t="shared" si="38"/>
        <v>7.9732051271743982</v>
      </c>
      <c r="K198" s="45">
        <f t="shared" si="38"/>
        <v>0</v>
      </c>
    </row>
  </sheetData>
  <mergeCells count="117">
    <mergeCell ref="A186:A191"/>
    <mergeCell ref="B186:B190"/>
    <mergeCell ref="C186:E187"/>
    <mergeCell ref="F186:K186"/>
    <mergeCell ref="F187:J187"/>
    <mergeCell ref="C188:C190"/>
    <mergeCell ref="D188:D190"/>
    <mergeCell ref="E188:E190"/>
    <mergeCell ref="F188:J188"/>
    <mergeCell ref="A171:A176"/>
    <mergeCell ref="B171:B175"/>
    <mergeCell ref="C171:E172"/>
    <mergeCell ref="F171:K171"/>
    <mergeCell ref="F172:J172"/>
    <mergeCell ref="C173:C175"/>
    <mergeCell ref="D173:D175"/>
    <mergeCell ref="E173:E175"/>
    <mergeCell ref="F173:J173"/>
    <mergeCell ref="A156:A161"/>
    <mergeCell ref="B156:B160"/>
    <mergeCell ref="C156:E157"/>
    <mergeCell ref="F156:K156"/>
    <mergeCell ref="F157:J157"/>
    <mergeCell ref="C158:C160"/>
    <mergeCell ref="D158:D160"/>
    <mergeCell ref="E158:E160"/>
    <mergeCell ref="F158:J158"/>
    <mergeCell ref="A141:A146"/>
    <mergeCell ref="B141:B145"/>
    <mergeCell ref="C141:E142"/>
    <mergeCell ref="F141:K141"/>
    <mergeCell ref="F142:J142"/>
    <mergeCell ref="C143:C145"/>
    <mergeCell ref="D143:D145"/>
    <mergeCell ref="E143:E145"/>
    <mergeCell ref="F143:J143"/>
    <mergeCell ref="A126:A131"/>
    <mergeCell ref="B126:B130"/>
    <mergeCell ref="C126:E127"/>
    <mergeCell ref="F126:K126"/>
    <mergeCell ref="F127:J127"/>
    <mergeCell ref="C128:C130"/>
    <mergeCell ref="D128:D130"/>
    <mergeCell ref="E128:E130"/>
    <mergeCell ref="F128:J128"/>
    <mergeCell ref="A111:A116"/>
    <mergeCell ref="B111:B115"/>
    <mergeCell ref="C111:E112"/>
    <mergeCell ref="F111:K111"/>
    <mergeCell ref="F112:J112"/>
    <mergeCell ref="C113:C115"/>
    <mergeCell ref="D113:D115"/>
    <mergeCell ref="E113:E115"/>
    <mergeCell ref="F113:J113"/>
    <mergeCell ref="A96:A101"/>
    <mergeCell ref="B96:B100"/>
    <mergeCell ref="C96:E97"/>
    <mergeCell ref="F96:K96"/>
    <mergeCell ref="F97:J97"/>
    <mergeCell ref="C98:C100"/>
    <mergeCell ref="D98:D100"/>
    <mergeCell ref="E98:E100"/>
    <mergeCell ref="F98:J98"/>
    <mergeCell ref="A81:A86"/>
    <mergeCell ref="B81:B85"/>
    <mergeCell ref="C81:E82"/>
    <mergeCell ref="F81:K81"/>
    <mergeCell ref="F82:J82"/>
    <mergeCell ref="C83:C85"/>
    <mergeCell ref="D83:D85"/>
    <mergeCell ref="E83:E85"/>
    <mergeCell ref="F83:J83"/>
    <mergeCell ref="A66:A71"/>
    <mergeCell ref="B66:B70"/>
    <mergeCell ref="C66:E67"/>
    <mergeCell ref="F66:K66"/>
    <mergeCell ref="F67:J67"/>
    <mergeCell ref="C68:C70"/>
    <mergeCell ref="D68:D70"/>
    <mergeCell ref="E68:E70"/>
    <mergeCell ref="F68:J68"/>
    <mergeCell ref="A51:A56"/>
    <mergeCell ref="B51:B55"/>
    <mergeCell ref="C51:E52"/>
    <mergeCell ref="F51:K51"/>
    <mergeCell ref="F52:J52"/>
    <mergeCell ref="C53:C55"/>
    <mergeCell ref="D53:D55"/>
    <mergeCell ref="E53:E55"/>
    <mergeCell ref="F53:J53"/>
    <mergeCell ref="C23:C25"/>
    <mergeCell ref="D23:D25"/>
    <mergeCell ref="E23:E25"/>
    <mergeCell ref="F23:J23"/>
    <mergeCell ref="A36:A41"/>
    <mergeCell ref="B36:B40"/>
    <mergeCell ref="C36:E37"/>
    <mergeCell ref="F36:K36"/>
    <mergeCell ref="F37:J37"/>
    <mergeCell ref="C38:C40"/>
    <mergeCell ref="D38:D40"/>
    <mergeCell ref="E38:E40"/>
    <mergeCell ref="F38:J38"/>
    <mergeCell ref="F6:K6"/>
    <mergeCell ref="C6:E7"/>
    <mergeCell ref="A21:A26"/>
    <mergeCell ref="B21:B25"/>
    <mergeCell ref="C21:E22"/>
    <mergeCell ref="F21:K21"/>
    <mergeCell ref="F22:J22"/>
    <mergeCell ref="B6:B10"/>
    <mergeCell ref="A6:A11"/>
    <mergeCell ref="F7:J7"/>
    <mergeCell ref="F8:J8"/>
    <mergeCell ref="C8:C10"/>
    <mergeCell ref="D8:D10"/>
    <mergeCell ref="E8:E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AE72-85BE-4B65-A432-13944118D1DA}">
  <dimension ref="A1"/>
  <sheetViews>
    <sheetView workbookViewId="0"/>
  </sheetViews>
  <sheetFormatPr baseColWidth="10" defaultRowHeight="15" x14ac:dyDescent="0.25"/>
  <sheetData>
    <row r="1" spans="1:1" x14ac:dyDescent="0.25">
      <c r="A1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donnees</vt:lpstr>
      <vt:lpstr>Commentaires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VILLEMEJANE</dc:creator>
  <cp:lastModifiedBy>Julien VILLEMEJANE</cp:lastModifiedBy>
  <dcterms:created xsi:type="dcterms:W3CDTF">2025-07-17T09:50:52Z</dcterms:created>
  <dcterms:modified xsi:type="dcterms:W3CDTF">2025-08-20T15:29:55Z</dcterms:modified>
</cp:coreProperties>
</file>
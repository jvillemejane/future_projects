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projects\sissy\"/>
    </mc:Choice>
  </mc:AlternateContent>
  <xr:revisionPtr revIDLastSave="0" documentId="13_ncr:1_{0BE51DF0-498F-4F06-A609-DF05BD1F7F6B}" xr6:coauthVersionLast="47" xr6:coauthVersionMax="47" xr10:uidLastSave="{00000000-0000-0000-0000-000000000000}"/>
  <bookViews>
    <workbookView xWindow="-120" yWindow="-120" windowWidth="29040" windowHeight="15720" xr2:uid="{8F4AC556-A85C-4DAC-A1A6-B5B0DE5AA017}"/>
  </bookViews>
  <sheets>
    <sheet name="donnees" sheetId="1" r:id="rId1"/>
    <sheet name="bilan" sheetId="6" r:id="rId2"/>
    <sheet name="bilan (2)" sheetId="7" r:id="rId3"/>
    <sheet name="bilan (3)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4" i="1" l="1"/>
  <c r="J194" i="1"/>
  <c r="I194" i="1"/>
  <c r="H194" i="1"/>
  <c r="G194" i="1"/>
  <c r="F194" i="1"/>
  <c r="E194" i="1"/>
  <c r="D194" i="1"/>
  <c r="C194" i="1"/>
  <c r="B194" i="1"/>
  <c r="K193" i="1"/>
  <c r="J193" i="1"/>
  <c r="I193" i="1"/>
  <c r="H193" i="1"/>
  <c r="G193" i="1"/>
  <c r="F193" i="1"/>
  <c r="E193" i="1"/>
  <c r="D193" i="1"/>
  <c r="C193" i="1"/>
  <c r="B193" i="1"/>
  <c r="K192" i="1"/>
  <c r="I192" i="1"/>
  <c r="G192" i="1"/>
  <c r="K191" i="1"/>
  <c r="I191" i="1"/>
  <c r="G191" i="1"/>
  <c r="K190" i="1"/>
  <c r="I190" i="1"/>
  <c r="G190" i="1"/>
  <c r="K189" i="1"/>
  <c r="I189" i="1"/>
  <c r="G189" i="1"/>
  <c r="K188" i="1"/>
  <c r="I188" i="1"/>
  <c r="G188" i="1"/>
  <c r="K179" i="1"/>
  <c r="J179" i="1"/>
  <c r="I179" i="1"/>
  <c r="H179" i="1"/>
  <c r="G179" i="1"/>
  <c r="F179" i="1"/>
  <c r="E179" i="1"/>
  <c r="D179" i="1"/>
  <c r="C179" i="1"/>
  <c r="B179" i="1"/>
  <c r="K178" i="1"/>
  <c r="J178" i="1"/>
  <c r="I178" i="1"/>
  <c r="H178" i="1"/>
  <c r="G178" i="1"/>
  <c r="F178" i="1"/>
  <c r="E178" i="1"/>
  <c r="D178" i="1"/>
  <c r="C178" i="1"/>
  <c r="B178" i="1"/>
  <c r="K177" i="1"/>
  <c r="I177" i="1"/>
  <c r="G177" i="1"/>
  <c r="K176" i="1"/>
  <c r="I176" i="1"/>
  <c r="G176" i="1"/>
  <c r="K175" i="1"/>
  <c r="I175" i="1"/>
  <c r="G175" i="1"/>
  <c r="K174" i="1"/>
  <c r="I174" i="1"/>
  <c r="G174" i="1"/>
  <c r="K173" i="1"/>
  <c r="I173" i="1"/>
  <c r="G173" i="1"/>
  <c r="K164" i="1"/>
  <c r="J164" i="1"/>
  <c r="I164" i="1"/>
  <c r="H164" i="1"/>
  <c r="G164" i="1"/>
  <c r="F164" i="1"/>
  <c r="E164" i="1"/>
  <c r="D164" i="1"/>
  <c r="C164" i="1"/>
  <c r="B164" i="1"/>
  <c r="K163" i="1"/>
  <c r="J163" i="1"/>
  <c r="I163" i="1"/>
  <c r="H163" i="1"/>
  <c r="G163" i="1"/>
  <c r="F163" i="1"/>
  <c r="E163" i="1"/>
  <c r="D163" i="1"/>
  <c r="C163" i="1"/>
  <c r="B163" i="1"/>
  <c r="K162" i="1"/>
  <c r="I162" i="1"/>
  <c r="G162" i="1"/>
  <c r="K161" i="1"/>
  <c r="I161" i="1"/>
  <c r="G161" i="1"/>
  <c r="K160" i="1"/>
  <c r="I160" i="1"/>
  <c r="G160" i="1"/>
  <c r="K159" i="1"/>
  <c r="I159" i="1"/>
  <c r="G159" i="1"/>
  <c r="K158" i="1"/>
  <c r="I158" i="1"/>
  <c r="G158" i="1"/>
  <c r="K149" i="1"/>
  <c r="J149" i="1"/>
  <c r="I149" i="1"/>
  <c r="H149" i="1"/>
  <c r="G149" i="1"/>
  <c r="F149" i="1"/>
  <c r="E149" i="1"/>
  <c r="D149" i="1"/>
  <c r="C149" i="1"/>
  <c r="B149" i="1"/>
  <c r="K148" i="1"/>
  <c r="J148" i="1"/>
  <c r="I148" i="1"/>
  <c r="H148" i="1"/>
  <c r="G148" i="1"/>
  <c r="F148" i="1"/>
  <c r="E148" i="1"/>
  <c r="D148" i="1"/>
  <c r="C148" i="1"/>
  <c r="B148" i="1"/>
  <c r="K147" i="1"/>
  <c r="I147" i="1"/>
  <c r="G147" i="1"/>
  <c r="K146" i="1"/>
  <c r="I146" i="1"/>
  <c r="G146" i="1"/>
  <c r="K145" i="1"/>
  <c r="I145" i="1"/>
  <c r="G145" i="1"/>
  <c r="K144" i="1"/>
  <c r="I144" i="1"/>
  <c r="G144" i="1"/>
  <c r="K143" i="1"/>
  <c r="I143" i="1"/>
  <c r="G143" i="1"/>
  <c r="K134" i="1"/>
  <c r="J134" i="1"/>
  <c r="I134" i="1"/>
  <c r="H134" i="1"/>
  <c r="G134" i="1"/>
  <c r="F134" i="1"/>
  <c r="E134" i="1"/>
  <c r="D134" i="1"/>
  <c r="C134" i="1"/>
  <c r="B134" i="1"/>
  <c r="K133" i="1"/>
  <c r="J133" i="1"/>
  <c r="I133" i="1"/>
  <c r="H133" i="1"/>
  <c r="G133" i="1"/>
  <c r="F133" i="1"/>
  <c r="E133" i="1"/>
  <c r="D133" i="1"/>
  <c r="C133" i="1"/>
  <c r="B133" i="1"/>
  <c r="K132" i="1"/>
  <c r="I132" i="1"/>
  <c r="G132" i="1"/>
  <c r="K131" i="1"/>
  <c r="I131" i="1"/>
  <c r="G131" i="1"/>
  <c r="K130" i="1"/>
  <c r="I130" i="1"/>
  <c r="G130" i="1"/>
  <c r="K129" i="1"/>
  <c r="I129" i="1"/>
  <c r="G129" i="1"/>
  <c r="K128" i="1"/>
  <c r="I128" i="1"/>
  <c r="G128" i="1"/>
  <c r="K119" i="1"/>
  <c r="J119" i="1"/>
  <c r="I119" i="1"/>
  <c r="H119" i="1"/>
  <c r="G119" i="1"/>
  <c r="F119" i="1"/>
  <c r="E119" i="1"/>
  <c r="D119" i="1"/>
  <c r="C119" i="1"/>
  <c r="B119" i="1"/>
  <c r="K118" i="1"/>
  <c r="J118" i="1"/>
  <c r="I118" i="1"/>
  <c r="H118" i="1"/>
  <c r="G118" i="1"/>
  <c r="F118" i="1"/>
  <c r="E118" i="1"/>
  <c r="D118" i="1"/>
  <c r="C118" i="1"/>
  <c r="B118" i="1"/>
  <c r="K117" i="1"/>
  <c r="I117" i="1"/>
  <c r="G117" i="1"/>
  <c r="K116" i="1"/>
  <c r="I116" i="1"/>
  <c r="G116" i="1"/>
  <c r="K115" i="1"/>
  <c r="I115" i="1"/>
  <c r="G115" i="1"/>
  <c r="K114" i="1"/>
  <c r="I114" i="1"/>
  <c r="G114" i="1"/>
  <c r="K113" i="1"/>
  <c r="I113" i="1"/>
  <c r="G113" i="1"/>
  <c r="K104" i="1"/>
  <c r="J104" i="1"/>
  <c r="I104" i="1"/>
  <c r="H104" i="1"/>
  <c r="G104" i="1"/>
  <c r="F104" i="1"/>
  <c r="E104" i="1"/>
  <c r="D104" i="1"/>
  <c r="C104" i="1"/>
  <c r="B104" i="1"/>
  <c r="K103" i="1"/>
  <c r="J103" i="1"/>
  <c r="I103" i="1"/>
  <c r="H103" i="1"/>
  <c r="G103" i="1"/>
  <c r="F103" i="1"/>
  <c r="E103" i="1"/>
  <c r="D103" i="1"/>
  <c r="C103" i="1"/>
  <c r="B103" i="1"/>
  <c r="K102" i="1"/>
  <c r="I102" i="1"/>
  <c r="G102" i="1"/>
  <c r="K101" i="1"/>
  <c r="I101" i="1"/>
  <c r="G101" i="1"/>
  <c r="K100" i="1"/>
  <c r="I100" i="1"/>
  <c r="G100" i="1"/>
  <c r="K99" i="1"/>
  <c r="I99" i="1"/>
  <c r="G99" i="1"/>
  <c r="K98" i="1"/>
  <c r="I98" i="1"/>
  <c r="G98" i="1"/>
  <c r="K89" i="1"/>
  <c r="J89" i="1"/>
  <c r="I89" i="1"/>
  <c r="H89" i="1"/>
  <c r="G89" i="1"/>
  <c r="F89" i="1"/>
  <c r="E89" i="1"/>
  <c r="D89" i="1"/>
  <c r="C89" i="1"/>
  <c r="B89" i="1"/>
  <c r="K88" i="1"/>
  <c r="J88" i="1"/>
  <c r="I88" i="1"/>
  <c r="H88" i="1"/>
  <c r="G88" i="1"/>
  <c r="F88" i="1"/>
  <c r="E88" i="1"/>
  <c r="D88" i="1"/>
  <c r="C88" i="1"/>
  <c r="B88" i="1"/>
  <c r="K87" i="1"/>
  <c r="I87" i="1"/>
  <c r="G87" i="1"/>
  <c r="K86" i="1"/>
  <c r="I86" i="1"/>
  <c r="G86" i="1"/>
  <c r="K85" i="1"/>
  <c r="I85" i="1"/>
  <c r="G85" i="1"/>
  <c r="K84" i="1"/>
  <c r="I84" i="1"/>
  <c r="G84" i="1"/>
  <c r="K83" i="1"/>
  <c r="I83" i="1"/>
  <c r="G83" i="1"/>
  <c r="K74" i="1"/>
  <c r="J74" i="1"/>
  <c r="I74" i="1"/>
  <c r="H74" i="1"/>
  <c r="G74" i="1"/>
  <c r="F74" i="1"/>
  <c r="E74" i="1"/>
  <c r="D74" i="1"/>
  <c r="C74" i="1"/>
  <c r="B74" i="1"/>
  <c r="K73" i="1"/>
  <c r="J73" i="1"/>
  <c r="I73" i="1"/>
  <c r="H73" i="1"/>
  <c r="G73" i="1"/>
  <c r="F73" i="1"/>
  <c r="E73" i="1"/>
  <c r="D73" i="1"/>
  <c r="C73" i="1"/>
  <c r="B73" i="1"/>
  <c r="K72" i="1"/>
  <c r="I72" i="1"/>
  <c r="G72" i="1"/>
  <c r="K71" i="1"/>
  <c r="I71" i="1"/>
  <c r="G71" i="1"/>
  <c r="K70" i="1"/>
  <c r="I70" i="1"/>
  <c r="G70" i="1"/>
  <c r="K69" i="1"/>
  <c r="I69" i="1"/>
  <c r="G69" i="1"/>
  <c r="K68" i="1"/>
  <c r="I68" i="1"/>
  <c r="G68" i="1"/>
  <c r="K59" i="1"/>
  <c r="J59" i="1"/>
  <c r="I59" i="1"/>
  <c r="H59" i="1"/>
  <c r="G59" i="1"/>
  <c r="F59" i="1"/>
  <c r="E59" i="1"/>
  <c r="D59" i="1"/>
  <c r="C59" i="1"/>
  <c r="B59" i="1"/>
  <c r="K58" i="1"/>
  <c r="J58" i="1"/>
  <c r="I58" i="1"/>
  <c r="H58" i="1"/>
  <c r="G58" i="1"/>
  <c r="F58" i="1"/>
  <c r="E58" i="1"/>
  <c r="D58" i="1"/>
  <c r="C58" i="1"/>
  <c r="B58" i="1"/>
  <c r="K57" i="1"/>
  <c r="I57" i="1"/>
  <c r="G57" i="1"/>
  <c r="K56" i="1"/>
  <c r="I56" i="1"/>
  <c r="G56" i="1"/>
  <c r="K55" i="1"/>
  <c r="I55" i="1"/>
  <c r="G55" i="1"/>
  <c r="K54" i="1"/>
  <c r="I54" i="1"/>
  <c r="G54" i="1"/>
  <c r="K53" i="1"/>
  <c r="I53" i="1"/>
  <c r="G53" i="1"/>
  <c r="K44" i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42" i="1"/>
  <c r="I42" i="1"/>
  <c r="G42" i="1"/>
  <c r="K41" i="1"/>
  <c r="I41" i="1"/>
  <c r="G41" i="1"/>
  <c r="K40" i="1"/>
  <c r="I40" i="1"/>
  <c r="G40" i="1"/>
  <c r="K39" i="1"/>
  <c r="I39" i="1"/>
  <c r="G39" i="1"/>
  <c r="K38" i="1"/>
  <c r="I38" i="1"/>
  <c r="G38" i="1"/>
  <c r="K29" i="1"/>
  <c r="J29" i="1"/>
  <c r="I29" i="1"/>
  <c r="H29" i="1"/>
  <c r="G29" i="1"/>
  <c r="F29" i="1"/>
  <c r="E29" i="1"/>
  <c r="D29" i="1"/>
  <c r="C29" i="1"/>
  <c r="B29" i="1"/>
  <c r="K28" i="1"/>
  <c r="J28" i="1"/>
  <c r="I28" i="1"/>
  <c r="H28" i="1"/>
  <c r="G28" i="1"/>
  <c r="F28" i="1"/>
  <c r="E28" i="1"/>
  <c r="D28" i="1"/>
  <c r="C28" i="1"/>
  <c r="B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14" i="1"/>
  <c r="J14" i="1"/>
  <c r="I14" i="1"/>
  <c r="H14" i="1"/>
  <c r="G14" i="1"/>
  <c r="F14" i="1"/>
  <c r="E14" i="1"/>
  <c r="D14" i="1"/>
  <c r="C14" i="1"/>
  <c r="B14" i="1"/>
  <c r="K13" i="1"/>
  <c r="J13" i="1"/>
  <c r="I13" i="1"/>
  <c r="H13" i="1"/>
  <c r="G13" i="1"/>
  <c r="F13" i="1"/>
  <c r="E13" i="1"/>
  <c r="D13" i="1"/>
  <c r="C13" i="1"/>
  <c r="B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</calcChain>
</file>

<file path=xl/sharedStrings.xml><?xml version="1.0" encoding="utf-8"?>
<sst xmlns="http://schemas.openxmlformats.org/spreadsheetml/2006/main" count="798" uniqueCount="83">
  <si>
    <t>Flexion 3 points</t>
  </si>
  <si>
    <t>(mm)</t>
  </si>
  <si>
    <t>(N)</t>
  </si>
  <si>
    <t>(N/mm)</t>
  </si>
  <si>
    <t>moyenne</t>
  </si>
  <si>
    <t>écart type</t>
  </si>
  <si>
    <t>Longueur 2</t>
  </si>
  <si>
    <t>épaisseur</t>
  </si>
  <si>
    <t>Dimensions biscuit</t>
  </si>
  <si>
    <t>Masse</t>
  </si>
  <si>
    <t>(g)</t>
  </si>
  <si>
    <t>(kN/m2)</t>
  </si>
  <si>
    <t>(%)</t>
  </si>
  <si>
    <t>Module Young</t>
  </si>
  <si>
    <t>(MN/m2)</t>
  </si>
  <si>
    <t>distance écartement entre les montants du banc flexion 3pt (mm)</t>
  </si>
  <si>
    <t>Fr</t>
  </si>
  <si>
    <t>σr</t>
  </si>
  <si>
    <t>yR</t>
  </si>
  <si>
    <t>contrainte à 
la rupture</t>
  </si>
  <si>
    <t>force à 
la rupture</t>
  </si>
  <si>
    <t>déformation à 
la rupture</t>
  </si>
  <si>
    <t>distance à 
la rupture</t>
  </si>
  <si>
    <t>ɛr</t>
  </si>
  <si>
    <t>pente à 
la rupture</t>
  </si>
  <si>
    <t>(dF/dy)</t>
  </si>
  <si>
    <t>Longueur 1*</t>
  </si>
  <si>
    <t>vitesse de la traverse (mm/s)</t>
  </si>
  <si>
    <t>Ey</t>
  </si>
  <si>
    <t>* La longueur 1 correspond à la longueur  du biscuit parallèle à celle de la distance d'écartement entre les 2 montants du banc de flexion 3 points</t>
  </si>
  <si>
    <t>Poudre levante 13 min</t>
  </si>
  <si>
    <t>Poudre levante 11min30</t>
  </si>
  <si>
    <t>Poudre levante 10min</t>
  </si>
  <si>
    <t>Poudre levante 14min30</t>
  </si>
  <si>
    <t>Poudre de lait 15min30</t>
  </si>
  <si>
    <t>Poudre de lait 18min30</t>
  </si>
  <si>
    <t>Poudre de lait 14min</t>
  </si>
  <si>
    <t>Poudre de lait 17min</t>
  </si>
  <si>
    <t>Temoin 11min15</t>
  </si>
  <si>
    <t>Temoin 10min</t>
  </si>
  <si>
    <t>Temoin 14min</t>
  </si>
  <si>
    <t>GERBLE</t>
  </si>
  <si>
    <t>BJORG</t>
  </si>
  <si>
    <t>écart-type</t>
  </si>
  <si>
    <t>L1</t>
  </si>
  <si>
    <t>L2</t>
  </si>
  <si>
    <t>E</t>
  </si>
  <si>
    <t>Témoin</t>
  </si>
  <si>
    <t>valeur</t>
  </si>
  <si>
    <t>Longueur 1</t>
  </si>
  <si>
    <t>Module
d'Young</t>
  </si>
  <si>
    <t>temps de
 cuisson (min)</t>
  </si>
  <si>
    <t>Recette</t>
  </si>
  <si>
    <t>10 min</t>
  </si>
  <si>
    <t>11min15</t>
  </si>
  <si>
    <t>14 min</t>
  </si>
  <si>
    <t>commerce</t>
  </si>
  <si>
    <t>Gerblé</t>
  </si>
  <si>
    <t>13 min</t>
  </si>
  <si>
    <t>11 min 30</t>
  </si>
  <si>
    <t>14 min 30</t>
  </si>
  <si>
    <t>Poudres
levantes</t>
  </si>
  <si>
    <t>Protéines sériques de lait</t>
  </si>
  <si>
    <t>17 min</t>
  </si>
  <si>
    <t>15 min 30</t>
  </si>
  <si>
    <t>18 min 30</t>
  </si>
  <si>
    <t>Poudres levantes</t>
  </si>
  <si>
    <t>Recette
Moyenne</t>
  </si>
  <si>
    <t>Recette
écart type</t>
  </si>
  <si>
    <t>PL 10m</t>
  </si>
  <si>
    <t>PL 11,5m</t>
  </si>
  <si>
    <t>PL13</t>
  </si>
  <si>
    <t>PL14,5</t>
  </si>
  <si>
    <t>Ref 10</t>
  </si>
  <si>
    <t>Ref 14</t>
  </si>
  <si>
    <t>Ref 11,25</t>
  </si>
  <si>
    <t>PSL 14m</t>
  </si>
  <si>
    <t>PSL 15,5m</t>
  </si>
  <si>
    <t>PSL 17m</t>
  </si>
  <si>
    <t>PSL 18,5m</t>
  </si>
  <si>
    <t>*</t>
  </si>
  <si>
    <t>bjorg</t>
  </si>
  <si>
    <t>gerblé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</si>
</sst>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/>
    <xf numFmtId="2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65" fontId="3" fillId="5" borderId="6" xfId="1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9" fontId="3" fillId="4" borderId="6" xfId="1" applyFont="1" applyFill="1" applyBorder="1" applyAlignment="1">
      <alignment horizontal="center" vertical="center"/>
    </xf>
    <xf numFmtId="9" fontId="3" fillId="4" borderId="10" xfId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4" fontId="3" fillId="6" borderId="6" xfId="0" applyNumberFormat="1" applyFont="1" applyFill="1" applyBorder="1" applyAlignment="1">
      <alignment horizontal="center" vertical="center"/>
    </xf>
    <xf numFmtId="1" fontId="3" fillId="6" borderId="6" xfId="0" applyNumberFormat="1" applyFont="1" applyFill="1" applyBorder="1" applyAlignment="1">
      <alignment horizontal="center" vertical="center"/>
    </xf>
    <xf numFmtId="165" fontId="3" fillId="6" borderId="6" xfId="1" applyNumberFormat="1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64" fontId="3" fillId="7" borderId="6" xfId="0" applyNumberFormat="1" applyFont="1" applyFill="1" applyBorder="1" applyAlignment="1">
      <alignment horizontal="center" vertical="center"/>
    </xf>
    <xf numFmtId="1" fontId="3" fillId="7" borderId="6" xfId="0" applyNumberFormat="1" applyFont="1" applyFill="1" applyBorder="1" applyAlignment="1">
      <alignment horizontal="center" vertical="center"/>
    </xf>
    <xf numFmtId="165" fontId="3" fillId="7" borderId="6" xfId="1" applyNumberFormat="1" applyFont="1" applyFill="1" applyBorder="1" applyAlignment="1">
      <alignment horizontal="center" vertical="center"/>
    </xf>
    <xf numFmtId="2" fontId="3" fillId="7" borderId="6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164" fontId="3" fillId="8" borderId="6" xfId="0" applyNumberFormat="1" applyFont="1" applyFill="1" applyBorder="1" applyAlignment="1">
      <alignment horizontal="center" vertical="center"/>
    </xf>
    <xf numFmtId="1" fontId="3" fillId="8" borderId="6" xfId="0" applyNumberFormat="1" applyFont="1" applyFill="1" applyBorder="1" applyAlignment="1">
      <alignment horizontal="center" vertical="center"/>
    </xf>
    <xf numFmtId="165" fontId="3" fillId="8" borderId="6" xfId="1" applyNumberFormat="1" applyFont="1" applyFill="1" applyBorder="1" applyAlignment="1">
      <alignment horizontal="center" vertical="center"/>
    </xf>
    <xf numFmtId="2" fontId="3" fillId="8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164" fontId="3" fillId="9" borderId="6" xfId="0" applyNumberFormat="1" applyFont="1" applyFill="1" applyBorder="1" applyAlignment="1">
      <alignment horizontal="center" vertical="center"/>
    </xf>
    <xf numFmtId="1" fontId="3" fillId="9" borderId="6" xfId="0" applyNumberFormat="1" applyFont="1" applyFill="1" applyBorder="1" applyAlignment="1">
      <alignment horizontal="center" vertical="center"/>
    </xf>
    <xf numFmtId="165" fontId="3" fillId="9" borderId="6" xfId="1" applyNumberFormat="1" applyFont="1" applyFill="1" applyBorder="1" applyAlignment="1">
      <alignment horizontal="center" vertical="center"/>
    </xf>
    <xf numFmtId="2" fontId="3" fillId="9" borderId="6" xfId="0" applyNumberFormat="1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en fonction de distance à la rupture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'bilan (2)'!$A$5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</c:spPr>
          </c:marker>
          <c:dPt>
            <c:idx val="1"/>
            <c:marker>
              <c:spPr>
                <a:solidFill>
                  <a:schemeClr val="tx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60CE-4D40-A16B-B6E6428017B7}"/>
              </c:ext>
            </c:extLst>
          </c:dPt>
          <c:dLbls>
            <c:dLbl>
              <c:idx val="0"/>
              <c:layout>
                <c:manualLayout>
                  <c:x val="-4.7613479123349498E-2"/>
                  <c:y val="5.3639258001321147E-2"/>
                </c:manualLayout>
              </c:layout>
              <c:tx>
                <c:rich>
                  <a:bodyPr/>
                  <a:lstStyle/>
                  <a:p>
                    <a:fld id="{E7CCDC4F-1C59-4FEB-82B5-5CFBD3AA2B9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0CE-4D40-A16B-B6E6428017B7}"/>
                </c:ext>
              </c:extLst>
            </c:dLbl>
            <c:dLbl>
              <c:idx val="1"/>
              <c:layout>
                <c:manualLayout>
                  <c:x val="-4.3916831635375179E-2"/>
                  <c:y val="9.3245407869631411E-2"/>
                </c:manualLayout>
              </c:layout>
              <c:tx>
                <c:rich>
                  <a:bodyPr/>
                  <a:lstStyle/>
                  <a:p>
                    <a:fld id="{229E5B8D-E6E3-4AAF-904C-B03F7381439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60CE-4D40-A16B-B6E6428017B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'bilan (2)'!$G$26:$G$27</c:f>
                <c:numCache>
                  <c:formatCode>General</c:formatCode>
                  <c:ptCount val="2"/>
                  <c:pt idx="0">
                    <c:v>2.9099828178186828</c:v>
                  </c:pt>
                  <c:pt idx="1">
                    <c:v>7.9857998973177402</c:v>
                  </c:pt>
                </c:numCache>
              </c:numRef>
            </c:plus>
            <c:minus>
              <c:numRef>
                <c:f>'bilan (2)'!$G$26:$G$27</c:f>
                <c:numCache>
                  <c:formatCode>General</c:formatCode>
                  <c:ptCount val="2"/>
                  <c:pt idx="0">
                    <c:v>2.9099828178186828</c:v>
                  </c:pt>
                  <c:pt idx="1">
                    <c:v>7.9857998973177402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'bilan (2)'!$I$26:$I$27</c:f>
                <c:numCache>
                  <c:formatCode>General</c:formatCode>
                  <c:ptCount val="2"/>
                  <c:pt idx="0">
                    <c:v>0.26829088691194847</c:v>
                  </c:pt>
                  <c:pt idx="1">
                    <c:v>9.9146356463563665E-2</c:v>
                  </c:pt>
                </c:numCache>
              </c:numRef>
            </c:plus>
            <c:minus>
              <c:numRef>
                <c:f>'bilan (2)'!$I$26:$I$27</c:f>
                <c:numCache>
                  <c:formatCode>General</c:formatCode>
                  <c:ptCount val="2"/>
                  <c:pt idx="0">
                    <c:v>0.26829088691194847</c:v>
                  </c:pt>
                  <c:pt idx="1">
                    <c:v>9.9146356463563665E-2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(2)'!$I$5:$I$6</c:f>
              <c:numCache>
                <c:formatCode>0.0</c:formatCode>
                <c:ptCount val="2"/>
                <c:pt idx="0">
                  <c:v>0.91600000000000004</c:v>
                </c:pt>
                <c:pt idx="1">
                  <c:v>0.35599999999999998</c:v>
                </c:pt>
              </c:numCache>
            </c:numRef>
          </c:xVal>
          <c:yVal>
            <c:numRef>
              <c:f>'bilan (2)'!$G$5:$G$6</c:f>
              <c:numCache>
                <c:formatCode>0</c:formatCode>
                <c:ptCount val="2"/>
                <c:pt idx="0">
                  <c:v>14.24</c:v>
                </c:pt>
                <c:pt idx="1">
                  <c:v>19.940000000000001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(2)'!$C$5:$C$6</c15:f>
                <c15:dlblRangeCache>
                  <c:ptCount val="2"/>
                  <c:pt idx="0">
                    <c:v>bjorg</c:v>
                  </c:pt>
                  <c:pt idx="1">
                    <c:v>gerblé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60CE-4D40-A16B-B6E6428017B7}"/>
            </c:ext>
          </c:extLst>
        </c:ser>
        <c:ser>
          <c:idx val="3"/>
          <c:order val="1"/>
          <c:tx>
            <c:strRef>
              <c:f>'bilan (2)'!$A$7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ln>
                <a:noFill/>
              </a:ln>
            </c:spPr>
          </c:marker>
          <c:dLbls>
            <c:dLbl>
              <c:idx val="0"/>
              <c:layout>
                <c:manualLayout>
                  <c:x val="-8.2949784981198926E-2"/>
                  <c:y val="-7.5702463406128887E-3"/>
                </c:manualLayout>
              </c:layout>
              <c:tx>
                <c:rich>
                  <a:bodyPr/>
                  <a:lstStyle/>
                  <a:p>
                    <a:fld id="{1675BFA0-0AC9-4838-8632-EC2FDD2800D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60CE-4D40-A16B-B6E6428017B7}"/>
                </c:ext>
              </c:extLst>
            </c:dLbl>
            <c:dLbl>
              <c:idx val="1"/>
              <c:layout>
                <c:manualLayout>
                  <c:x val="-6.2049083877643747E-2"/>
                  <c:y val="5.7239817080258382E-2"/>
                </c:manualLayout>
              </c:layout>
              <c:tx>
                <c:rich>
                  <a:bodyPr/>
                  <a:lstStyle/>
                  <a:p>
                    <a:fld id="{F663FAF3-15D6-4177-B3F4-AE3394F5260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60CE-4D40-A16B-B6E6428017B7}"/>
                </c:ext>
              </c:extLst>
            </c:dLbl>
            <c:dLbl>
              <c:idx val="2"/>
              <c:layout>
                <c:manualLayout>
                  <c:x val="-9.1584190810850674E-2"/>
                  <c:y val="-3.2774159893174032E-2"/>
                </c:manualLayout>
              </c:layout>
              <c:tx>
                <c:rich>
                  <a:bodyPr/>
                  <a:lstStyle/>
                  <a:p>
                    <a:fld id="{E95A7C6D-4B4F-4980-BDC1-1930855EFE2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0CE-4D40-A16B-B6E642801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9900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(2)'!$I$28:$I$30</c:f>
                <c:numCache>
                  <c:formatCode>General</c:formatCode>
                  <c:ptCount val="3"/>
                  <c:pt idx="0">
                    <c:v>0.16703293088490276</c:v>
                  </c:pt>
                  <c:pt idx="1">
                    <c:v>0.14106735979665888</c:v>
                  </c:pt>
                  <c:pt idx="2">
                    <c:v>0.1962651268055538</c:v>
                  </c:pt>
                </c:numCache>
              </c:numRef>
            </c:plus>
            <c:minus>
              <c:numRef>
                <c:f>'bilan (2)'!$I$28:$I$30</c:f>
                <c:numCache>
                  <c:formatCode>General</c:formatCode>
                  <c:ptCount val="3"/>
                  <c:pt idx="0">
                    <c:v>0.16703293088490276</c:v>
                  </c:pt>
                  <c:pt idx="1">
                    <c:v>0.14106735979665888</c:v>
                  </c:pt>
                  <c:pt idx="2">
                    <c:v>0.1962651268055538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(2)'!$G$28:$G$30</c:f>
                <c:numCache>
                  <c:formatCode>General</c:formatCode>
                  <c:ptCount val="3"/>
                  <c:pt idx="0">
                    <c:v>5.3082012019138967</c:v>
                  </c:pt>
                  <c:pt idx="1">
                    <c:v>3.5059948659403357</c:v>
                  </c:pt>
                  <c:pt idx="2">
                    <c:v>2.7905196648653363</c:v>
                  </c:pt>
                </c:numCache>
              </c:numRef>
            </c:plus>
            <c:minus>
              <c:numRef>
                <c:f>'bilan (2)'!$G$28:$G$30</c:f>
                <c:numCache>
                  <c:formatCode>General</c:formatCode>
                  <c:ptCount val="3"/>
                  <c:pt idx="0">
                    <c:v>5.3082012019138967</c:v>
                  </c:pt>
                  <c:pt idx="1">
                    <c:v>3.5059948659403357</c:v>
                  </c:pt>
                  <c:pt idx="2">
                    <c:v>2.7905196648653363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(2)'!$I$7:$I$9</c:f>
              <c:numCache>
                <c:formatCode>0.0</c:formatCode>
                <c:ptCount val="3"/>
                <c:pt idx="0">
                  <c:v>1.2999999999999998</c:v>
                </c:pt>
                <c:pt idx="1">
                  <c:v>1.55</c:v>
                </c:pt>
                <c:pt idx="2">
                  <c:v>1.298</c:v>
                </c:pt>
              </c:numCache>
            </c:numRef>
          </c:xVal>
          <c:yVal>
            <c:numRef>
              <c:f>'bilan (2)'!$G$7:$G$9</c:f>
              <c:numCache>
                <c:formatCode>0</c:formatCode>
                <c:ptCount val="3"/>
                <c:pt idx="0">
                  <c:v>32.28</c:v>
                </c:pt>
                <c:pt idx="1">
                  <c:v>34.880000000000003</c:v>
                </c:pt>
                <c:pt idx="2">
                  <c:v>21.779999999999998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(2)'!$C$7:$C$9</c15:f>
                <c15:dlblRangeCache>
                  <c:ptCount val="3"/>
                  <c:pt idx="0">
                    <c:v>Ref 10</c:v>
                  </c:pt>
                  <c:pt idx="1">
                    <c:v>Ref 11,25</c:v>
                  </c:pt>
                  <c:pt idx="2">
                    <c:v>Ref 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0CE-4D40-A16B-B6E6428017B7}"/>
            </c:ext>
          </c:extLst>
        </c:ser>
        <c:ser>
          <c:idx val="5"/>
          <c:order val="2"/>
          <c:tx>
            <c:strRef>
              <c:f>'bilan (2)'!$A$14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00FF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7797828786871081E-3"/>
                  <c:y val="-3.6912818273836207E-4"/>
                </c:manualLayout>
              </c:layout>
              <c:tx>
                <c:rich>
                  <a:bodyPr/>
                  <a:lstStyle/>
                  <a:p>
                    <a:fld id="{EFB16B19-4D90-4F20-928E-F1ACF4FDD5C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0CE-4D40-A16B-B6E6428017B7}"/>
                </c:ext>
              </c:extLst>
            </c:dLbl>
            <c:dLbl>
              <c:idx val="1"/>
              <c:layout>
                <c:manualLayout>
                  <c:x val="-0.11971603682812042"/>
                  <c:y val="-2.9173600814236669E-2"/>
                </c:manualLayout>
              </c:layout>
              <c:tx>
                <c:rich>
                  <a:bodyPr/>
                  <a:lstStyle/>
                  <a:p>
                    <a:fld id="{50467511-882C-430A-BF58-EC7FC72C80C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0CE-4D40-A16B-B6E6428017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5DB6E1-03C7-4DF0-A23A-DD6357C9074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60CE-4D40-A16B-B6E6428017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F1509E-794F-41C5-98A4-06CA3AD08A9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0CE-4D40-A16B-B6E642801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(2)'!$I$35:$I$38</c:f>
                <c:numCache>
                  <c:formatCode>General</c:formatCode>
                  <c:ptCount val="4"/>
                  <c:pt idx="0">
                    <c:v>0.49132473986152947</c:v>
                  </c:pt>
                  <c:pt idx="1">
                    <c:v>0.4686683262180199</c:v>
                  </c:pt>
                  <c:pt idx="2">
                    <c:v>0.21799082549501941</c:v>
                  </c:pt>
                  <c:pt idx="3">
                    <c:v>0.38526614177734136</c:v>
                  </c:pt>
                </c:numCache>
              </c:numRef>
            </c:plus>
            <c:minus>
              <c:numRef>
                <c:f>'bilan (2)'!$I$35:$I$38</c:f>
                <c:numCache>
                  <c:formatCode>General</c:formatCode>
                  <c:ptCount val="4"/>
                  <c:pt idx="0">
                    <c:v>0.49132473986152947</c:v>
                  </c:pt>
                  <c:pt idx="1">
                    <c:v>0.4686683262180199</c:v>
                  </c:pt>
                  <c:pt idx="2">
                    <c:v>0.21799082549501941</c:v>
                  </c:pt>
                  <c:pt idx="3">
                    <c:v>0.38526614177734136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(2)'!$G$35:$G$38</c:f>
                <c:numCache>
                  <c:formatCode>General</c:formatCode>
                  <c:ptCount val="4"/>
                  <c:pt idx="0">
                    <c:v>4.6348678514063097</c:v>
                  </c:pt>
                  <c:pt idx="1">
                    <c:v>21.297582022379917</c:v>
                  </c:pt>
                  <c:pt idx="2">
                    <c:v>14.330561747538015</c:v>
                  </c:pt>
                  <c:pt idx="3">
                    <c:v>16.791727725281824</c:v>
                  </c:pt>
                </c:numCache>
              </c:numRef>
            </c:plus>
            <c:minus>
              <c:numRef>
                <c:f>'bilan (2)'!$G$35:$G$38</c:f>
                <c:numCache>
                  <c:formatCode>General</c:formatCode>
                  <c:ptCount val="4"/>
                  <c:pt idx="0">
                    <c:v>4.6348678514063097</c:v>
                  </c:pt>
                  <c:pt idx="1">
                    <c:v>21.297582022379917</c:v>
                  </c:pt>
                  <c:pt idx="2">
                    <c:v>14.330561747538015</c:v>
                  </c:pt>
                  <c:pt idx="3">
                    <c:v>16.791727725281824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(2)'!$I$14:$I$17</c:f>
              <c:numCache>
                <c:formatCode>0.0</c:formatCode>
                <c:ptCount val="4"/>
                <c:pt idx="0">
                  <c:v>1.81</c:v>
                </c:pt>
                <c:pt idx="1">
                  <c:v>1.1199999999999999</c:v>
                </c:pt>
                <c:pt idx="2">
                  <c:v>1.4279999999999999</c:v>
                </c:pt>
                <c:pt idx="3">
                  <c:v>2.0040000000000004</c:v>
                </c:pt>
              </c:numCache>
            </c:numRef>
          </c:xVal>
          <c:yVal>
            <c:numRef>
              <c:f>'bilan (2)'!$G$14:$G$17</c:f>
              <c:numCache>
                <c:formatCode>0</c:formatCode>
                <c:ptCount val="4"/>
                <c:pt idx="0">
                  <c:v>35.520000000000003</c:v>
                </c:pt>
                <c:pt idx="1">
                  <c:v>31.82</c:v>
                </c:pt>
                <c:pt idx="2">
                  <c:v>57.9</c:v>
                </c:pt>
                <c:pt idx="3">
                  <c:v>62.068000000000005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(2)'!$C$14:$C$17</c15:f>
                <c15:dlblRangeCache>
                  <c:ptCount val="4"/>
                  <c:pt idx="0">
                    <c:v>PSL 14m</c:v>
                  </c:pt>
                  <c:pt idx="1">
                    <c:v>PSL 15,5m</c:v>
                  </c:pt>
                  <c:pt idx="2">
                    <c:v>PSL 17m</c:v>
                  </c:pt>
                  <c:pt idx="3">
                    <c:v>PSL 18,5m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60CE-4D40-A16B-B6E6428017B7}"/>
            </c:ext>
          </c:extLst>
        </c:ser>
        <c:ser>
          <c:idx val="0"/>
          <c:order val="3"/>
          <c:tx>
            <c:strRef>
              <c:f>'bilan (2)'!$A$10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1.4927663905413143E-2"/>
                  <c:y val="4.1813831250017586E-2"/>
                </c:manualLayout>
              </c:layout>
              <c:tx>
                <c:rich>
                  <a:bodyPr/>
                  <a:lstStyle/>
                  <a:p>
                    <a:fld id="{D39CDC9E-0C63-459E-A2DD-C95F04CAD14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0CE-4D40-A16B-B6E6428017B7}"/>
                </c:ext>
              </c:extLst>
            </c:dLbl>
            <c:dLbl>
              <c:idx val="1"/>
              <c:layout>
                <c:manualLayout>
                  <c:x val="-1.6676131085917607E-2"/>
                  <c:y val="-4.4916832755448395E-2"/>
                </c:manualLayout>
              </c:layout>
              <c:tx>
                <c:rich>
                  <a:bodyPr/>
                  <a:lstStyle/>
                  <a:p>
                    <a:fld id="{59DABF3C-302D-4CD4-9E3F-6A28F78B3EC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0CE-4D40-A16B-B6E6428017B7}"/>
                </c:ext>
              </c:extLst>
            </c:dLbl>
            <c:dLbl>
              <c:idx val="2"/>
              <c:layout>
                <c:manualLayout>
                  <c:x val="-1.4656054052740322E-2"/>
                  <c:y val="3.4676219016055089E-2"/>
                </c:manualLayout>
              </c:layout>
              <c:tx>
                <c:rich>
                  <a:bodyPr/>
                  <a:lstStyle/>
                  <a:p>
                    <a:fld id="{533B89C3-411C-43BD-9F8D-EBFD042E0C8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0CE-4D40-A16B-B6E6428017B7}"/>
                </c:ext>
              </c:extLst>
            </c:dLbl>
            <c:dLbl>
              <c:idx val="3"/>
              <c:layout>
                <c:manualLayout>
                  <c:x val="-5.9937053821752892E-2"/>
                  <c:y val="6.7462002761373652E-2"/>
                </c:manualLayout>
              </c:layout>
              <c:tx>
                <c:rich>
                  <a:bodyPr/>
                  <a:lstStyle/>
                  <a:p>
                    <a:fld id="{578712C3-7843-4BFC-B3E0-18E83DC312A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0CE-4D40-A16B-B6E6428017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(2)'!$I$31:$I$34</c:f>
                <c:numCache>
                  <c:formatCode>General</c:formatCode>
                  <c:ptCount val="4"/>
                  <c:pt idx="0">
                    <c:v>0.1329285522376589</c:v>
                  </c:pt>
                  <c:pt idx="1">
                    <c:v>0.48339424903488371</c:v>
                  </c:pt>
                  <c:pt idx="2">
                    <c:v>0.12214745187681976</c:v>
                  </c:pt>
                  <c:pt idx="3">
                    <c:v>0.32761257607118766</c:v>
                  </c:pt>
                </c:numCache>
              </c:numRef>
            </c:plus>
            <c:minus>
              <c:numRef>
                <c:f>'bilan (2)'!$I$31:$I$34</c:f>
                <c:numCache>
                  <c:formatCode>General</c:formatCode>
                  <c:ptCount val="4"/>
                  <c:pt idx="0">
                    <c:v>0.1329285522376589</c:v>
                  </c:pt>
                  <c:pt idx="1">
                    <c:v>0.48339424903488371</c:v>
                  </c:pt>
                  <c:pt idx="2">
                    <c:v>0.12214745187681976</c:v>
                  </c:pt>
                  <c:pt idx="3">
                    <c:v>0.32761257607118766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(2)'!$G$31:$G$34</c:f>
                <c:numCache>
                  <c:formatCode>General</c:formatCode>
                  <c:ptCount val="4"/>
                  <c:pt idx="0">
                    <c:v>1.4669696656713753</c:v>
                  </c:pt>
                  <c:pt idx="1">
                    <c:v>3.4590938119686689</c:v>
                  </c:pt>
                  <c:pt idx="2">
                    <c:v>1.5106290080625362</c:v>
                  </c:pt>
                  <c:pt idx="3">
                    <c:v>1.5297058540778352</c:v>
                  </c:pt>
                </c:numCache>
              </c:numRef>
            </c:plus>
            <c:minus>
              <c:numRef>
                <c:f>'bilan (2)'!$G$31:$G$34</c:f>
                <c:numCache>
                  <c:formatCode>General</c:formatCode>
                  <c:ptCount val="4"/>
                  <c:pt idx="0">
                    <c:v>1.4669696656713753</c:v>
                  </c:pt>
                  <c:pt idx="1">
                    <c:v>3.4590938119686689</c:v>
                  </c:pt>
                  <c:pt idx="2">
                    <c:v>1.5106290080625362</c:v>
                  </c:pt>
                  <c:pt idx="3">
                    <c:v>1.5297058540778352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(2)'!$I$10:$I$13</c:f>
              <c:numCache>
                <c:formatCode>0.0</c:formatCode>
                <c:ptCount val="4"/>
                <c:pt idx="0">
                  <c:v>1.5980000000000001</c:v>
                </c:pt>
                <c:pt idx="1">
                  <c:v>1.752</c:v>
                </c:pt>
                <c:pt idx="2">
                  <c:v>1.3580000000000001</c:v>
                </c:pt>
                <c:pt idx="3">
                  <c:v>1.3260000000000001</c:v>
                </c:pt>
              </c:numCache>
            </c:numRef>
          </c:xVal>
          <c:yVal>
            <c:numRef>
              <c:f>'bilan (2)'!$G$10:$G$13</c:f>
              <c:numCache>
                <c:formatCode>0</c:formatCode>
                <c:ptCount val="4"/>
                <c:pt idx="0">
                  <c:v>9.6800000000000015</c:v>
                </c:pt>
                <c:pt idx="1">
                  <c:v>17.134</c:v>
                </c:pt>
                <c:pt idx="2">
                  <c:v>17.68</c:v>
                </c:pt>
                <c:pt idx="3">
                  <c:v>17.600000000000001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(2)'!$C$10:$C$13</c15:f>
                <c15:dlblRangeCache>
                  <c:ptCount val="4"/>
                  <c:pt idx="0">
                    <c:v>PL 10m</c:v>
                  </c:pt>
                  <c:pt idx="1">
                    <c:v>PL 11,5m</c:v>
                  </c:pt>
                  <c:pt idx="2">
                    <c:v>PL13</c:v>
                  </c:pt>
                  <c:pt idx="3">
                    <c:v>PL14,5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0CE-4D40-A16B-B6E6428017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  <c:max val="2.5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Contrainte</a:t>
            </a:r>
            <a:r>
              <a:rPr lang="en-US" baseline="0"/>
              <a:t> </a:t>
            </a:r>
            <a:r>
              <a:rPr lang="en-US"/>
              <a:t>en fonction de déformation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'bilan (2)'!$A$5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(2)'!$J$5:$J$6</c:f>
              <c:numCache>
                <c:formatCode>0.0%</c:formatCode>
                <c:ptCount val="2"/>
                <c:pt idx="0">
                  <c:v>1.645456995640111E-2</c:v>
                </c:pt>
                <c:pt idx="1">
                  <c:v>7.7585097106619124E-3</c:v>
                </c:pt>
              </c:numCache>
            </c:numRef>
          </c:xVal>
          <c:yVal>
            <c:numRef>
              <c:f>'bilan (2)'!$H$5:$H$6</c:f>
              <c:numCache>
                <c:formatCode>0</c:formatCode>
                <c:ptCount val="2"/>
                <c:pt idx="0">
                  <c:v>449.59260301140438</c:v>
                </c:pt>
                <c:pt idx="1">
                  <c:v>453.96344106465421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4-47E8-A338-444E53A2ED3B}"/>
            </c:ext>
          </c:extLst>
        </c:ser>
        <c:ser>
          <c:idx val="5"/>
          <c:order val="1"/>
          <c:tx>
            <c:strRef>
              <c:f>'bilan (2)'!$A$10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8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(2)'!$J$10:$J$13</c:f>
              <c:numCache>
                <c:formatCode>0.0%</c:formatCode>
                <c:ptCount val="4"/>
                <c:pt idx="0">
                  <c:v>6.4254300435988912E-2</c:v>
                </c:pt>
                <c:pt idx="1">
                  <c:v>6.4045596512088784E-2</c:v>
                </c:pt>
                <c:pt idx="2">
                  <c:v>5.1989726516052326E-2</c:v>
                </c:pt>
                <c:pt idx="3">
                  <c:v>5.0921411018628612E-2</c:v>
                </c:pt>
              </c:numCache>
            </c:numRef>
          </c:xVal>
          <c:yVal>
            <c:numRef>
              <c:f>'bilan (2)'!$H$10:$H$13</c:f>
              <c:numCache>
                <c:formatCode>0</c:formatCode>
                <c:ptCount val="4"/>
                <c:pt idx="0">
                  <c:v>54.203961235147823</c:v>
                </c:pt>
                <c:pt idx="1">
                  <c:v>104.78704081670574</c:v>
                </c:pt>
                <c:pt idx="2">
                  <c:v>102.98015303409474</c:v>
                </c:pt>
                <c:pt idx="3">
                  <c:v>101.13097964736851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4-47E8-A338-444E53A2ED3B}"/>
            </c:ext>
          </c:extLst>
        </c:ser>
        <c:ser>
          <c:idx val="6"/>
          <c:order val="2"/>
          <c:tx>
            <c:strRef>
              <c:f>'bilan (2)'!$A$7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C000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'bilan (2)'!$J$7:$J$9</c:f>
              <c:numCache>
                <c:formatCode>0.0%</c:formatCode>
                <c:ptCount val="3"/>
                <c:pt idx="0">
                  <c:v>6.0052508917954814E-2</c:v>
                </c:pt>
                <c:pt idx="1">
                  <c:v>7.1845834324217206E-2</c:v>
                </c:pt>
                <c:pt idx="2">
                  <c:v>5.8383448275862074E-2</c:v>
                </c:pt>
              </c:numCache>
            </c:numRef>
          </c:xVal>
          <c:yVal>
            <c:numRef>
              <c:f>'bilan (2)'!$H$7:$H$9</c:f>
              <c:numCache>
                <c:formatCode>0</c:formatCode>
                <c:ptCount val="3"/>
                <c:pt idx="0">
                  <c:v>148.38173713493057</c:v>
                </c:pt>
                <c:pt idx="1">
                  <c:v>159.41590626079147</c:v>
                </c:pt>
                <c:pt idx="2">
                  <c:v>102.71211957027177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54-47E8-A338-444E53A2ED3B}"/>
            </c:ext>
          </c:extLst>
        </c:ser>
        <c:ser>
          <c:idx val="0"/>
          <c:order val="3"/>
          <c:tx>
            <c:strRef>
              <c:f>'bilan (2)'!$A$14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(2)'!$J$14:$J$17</c:f>
              <c:numCache>
                <c:formatCode>0.0%</c:formatCode>
                <c:ptCount val="4"/>
                <c:pt idx="0">
                  <c:v>0.10768139516448674</c:v>
                </c:pt>
                <c:pt idx="1">
                  <c:v>5.9034736424891009E-2</c:v>
                </c:pt>
                <c:pt idx="2">
                  <c:v>5.2268569163694024E-2</c:v>
                </c:pt>
                <c:pt idx="3">
                  <c:v>0.12072104637336505</c:v>
                </c:pt>
              </c:numCache>
            </c:numRef>
          </c:xVal>
          <c:yVal>
            <c:numRef>
              <c:f>'bilan (2)'!$H$14:$H$17</c:f>
              <c:numCache>
                <c:formatCode>0</c:formatCode>
                <c:ptCount val="4"/>
                <c:pt idx="0">
                  <c:v>99.175784539398052</c:v>
                </c:pt>
                <c:pt idx="1">
                  <c:v>105.90966594209092</c:v>
                </c:pt>
                <c:pt idx="2">
                  <c:v>413.10960273894915</c:v>
                </c:pt>
                <c:pt idx="3">
                  <c:v>166.52141238624526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54-47E8-A338-444E53A2E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en fonction de distance à la rupture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'bilan (2)'!$A$5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</c:spPr>
          </c:marker>
          <c:dPt>
            <c:idx val="1"/>
            <c:marker>
              <c:spPr>
                <a:solidFill>
                  <a:schemeClr val="tx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B01-4C40-94BF-894935F4EEAC}"/>
              </c:ext>
            </c:extLst>
          </c:dPt>
          <c:dLbls>
            <c:dLbl>
              <c:idx val="0"/>
              <c:layout>
                <c:manualLayout>
                  <c:x val="-4.7613479123349498E-2"/>
                  <c:y val="5.3639258001321147E-2"/>
                </c:manualLayout>
              </c:layout>
              <c:tx>
                <c:rich>
                  <a:bodyPr/>
                  <a:lstStyle/>
                  <a:p>
                    <a:fld id="{E18CA469-72F4-4130-B666-76755115DA8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B01-4C40-94BF-894935F4EEAC}"/>
                </c:ext>
              </c:extLst>
            </c:dLbl>
            <c:dLbl>
              <c:idx val="1"/>
              <c:layout>
                <c:manualLayout>
                  <c:x val="-4.3916831635375179E-2"/>
                  <c:y val="9.3245407869631411E-2"/>
                </c:manualLayout>
              </c:layout>
              <c:tx>
                <c:rich>
                  <a:bodyPr/>
                  <a:lstStyle/>
                  <a:p>
                    <a:fld id="{CA0AB8B9-C3B7-4359-8D9A-3E2404E9C98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B01-4C40-94BF-894935F4EEA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(2)'!$I$5:$I$6</c:f>
              <c:numCache>
                <c:formatCode>0.0</c:formatCode>
                <c:ptCount val="2"/>
                <c:pt idx="0">
                  <c:v>0.91600000000000004</c:v>
                </c:pt>
                <c:pt idx="1">
                  <c:v>0.35599999999999998</c:v>
                </c:pt>
              </c:numCache>
            </c:numRef>
          </c:xVal>
          <c:yVal>
            <c:numRef>
              <c:f>'bilan (2)'!$G$5:$G$6</c:f>
              <c:numCache>
                <c:formatCode>0</c:formatCode>
                <c:ptCount val="2"/>
                <c:pt idx="0">
                  <c:v>14.24</c:v>
                </c:pt>
                <c:pt idx="1">
                  <c:v>19.940000000000001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(2)'!$C$5:$C$6</c15:f>
                <c15:dlblRangeCache>
                  <c:ptCount val="2"/>
                  <c:pt idx="0">
                    <c:v>bjorg</c:v>
                  </c:pt>
                  <c:pt idx="1">
                    <c:v>gerblé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BB01-4C40-94BF-894935F4EEAC}"/>
            </c:ext>
          </c:extLst>
        </c:ser>
        <c:ser>
          <c:idx val="3"/>
          <c:order val="1"/>
          <c:tx>
            <c:strRef>
              <c:f>'bilan (2)'!$A$7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ln>
                <a:noFill/>
              </a:ln>
            </c:spPr>
          </c:marker>
          <c:dLbls>
            <c:dLbl>
              <c:idx val="0"/>
              <c:layout>
                <c:manualLayout>
                  <c:x val="-8.2949784981198926E-2"/>
                  <c:y val="-7.5702463406128887E-3"/>
                </c:manualLayout>
              </c:layout>
              <c:tx>
                <c:rich>
                  <a:bodyPr/>
                  <a:lstStyle/>
                  <a:p>
                    <a:fld id="{FC664F85-4476-4FD0-AD9B-F7DA568E57F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01-4C40-94BF-894935F4EEAC}"/>
                </c:ext>
              </c:extLst>
            </c:dLbl>
            <c:dLbl>
              <c:idx val="1"/>
              <c:layout>
                <c:manualLayout>
                  <c:x val="-6.2049083877643747E-2"/>
                  <c:y val="5.7239817080258382E-2"/>
                </c:manualLayout>
              </c:layout>
              <c:tx>
                <c:rich>
                  <a:bodyPr/>
                  <a:lstStyle/>
                  <a:p>
                    <a:fld id="{185D2937-1774-4FBE-8372-0759E16290D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B01-4C40-94BF-894935F4EEAC}"/>
                </c:ext>
              </c:extLst>
            </c:dLbl>
            <c:dLbl>
              <c:idx val="2"/>
              <c:layout>
                <c:manualLayout>
                  <c:x val="-9.1584190810850674E-2"/>
                  <c:y val="-3.2774159893174032E-2"/>
                </c:manualLayout>
              </c:layout>
              <c:tx>
                <c:rich>
                  <a:bodyPr/>
                  <a:lstStyle/>
                  <a:p>
                    <a:fld id="{54E15659-C519-4D44-A410-B4B9AB7DDBF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B01-4C40-94BF-894935F4E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9900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(2)'!$I$7:$I$9</c:f>
              <c:numCache>
                <c:formatCode>0.0</c:formatCode>
                <c:ptCount val="3"/>
                <c:pt idx="0">
                  <c:v>1.2999999999999998</c:v>
                </c:pt>
                <c:pt idx="1">
                  <c:v>1.55</c:v>
                </c:pt>
                <c:pt idx="2">
                  <c:v>1.298</c:v>
                </c:pt>
              </c:numCache>
            </c:numRef>
          </c:xVal>
          <c:yVal>
            <c:numRef>
              <c:f>'bilan (2)'!$G$7:$G$9</c:f>
              <c:numCache>
                <c:formatCode>0</c:formatCode>
                <c:ptCount val="3"/>
                <c:pt idx="0">
                  <c:v>32.28</c:v>
                </c:pt>
                <c:pt idx="1">
                  <c:v>34.880000000000003</c:v>
                </c:pt>
                <c:pt idx="2">
                  <c:v>21.779999999999998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(2)'!$C$7:$C$9</c15:f>
                <c15:dlblRangeCache>
                  <c:ptCount val="3"/>
                  <c:pt idx="0">
                    <c:v>Ref 10</c:v>
                  </c:pt>
                  <c:pt idx="1">
                    <c:v>Ref 11,25</c:v>
                  </c:pt>
                  <c:pt idx="2">
                    <c:v>Ref 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BB01-4C40-94BF-894935F4EEAC}"/>
            </c:ext>
          </c:extLst>
        </c:ser>
        <c:ser>
          <c:idx val="5"/>
          <c:order val="2"/>
          <c:tx>
            <c:strRef>
              <c:f>'bilan (2)'!$A$14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00FF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7797828786871081E-3"/>
                  <c:y val="-3.6912818273836207E-4"/>
                </c:manualLayout>
              </c:layout>
              <c:tx>
                <c:rich>
                  <a:bodyPr/>
                  <a:lstStyle/>
                  <a:p>
                    <a:fld id="{83E2ECAC-A161-4770-B93C-083A1D58474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B01-4C40-94BF-894935F4EEAC}"/>
                </c:ext>
              </c:extLst>
            </c:dLbl>
            <c:dLbl>
              <c:idx val="1"/>
              <c:layout>
                <c:manualLayout>
                  <c:x val="-0.11971603682812042"/>
                  <c:y val="-2.9173600814236669E-2"/>
                </c:manualLayout>
              </c:layout>
              <c:tx>
                <c:rich>
                  <a:bodyPr/>
                  <a:lstStyle/>
                  <a:p>
                    <a:fld id="{3E51F483-55C2-4F65-B856-C30F9840030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B01-4C40-94BF-894935F4EEA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5704BF-3678-41F8-96C4-B6842461E4C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B01-4C40-94BF-894935F4EEA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0F24AF-E909-4C45-BE75-E4B95D1C959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B01-4C40-94BF-894935F4E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(2)'!$I$14:$I$17</c:f>
              <c:numCache>
                <c:formatCode>0.0</c:formatCode>
                <c:ptCount val="4"/>
                <c:pt idx="0">
                  <c:v>1.81</c:v>
                </c:pt>
                <c:pt idx="1">
                  <c:v>1.1199999999999999</c:v>
                </c:pt>
                <c:pt idx="2">
                  <c:v>1.4279999999999999</c:v>
                </c:pt>
                <c:pt idx="3">
                  <c:v>2.0040000000000004</c:v>
                </c:pt>
              </c:numCache>
            </c:numRef>
          </c:xVal>
          <c:yVal>
            <c:numRef>
              <c:f>'bilan (2)'!$G$14:$G$17</c:f>
              <c:numCache>
                <c:formatCode>0</c:formatCode>
                <c:ptCount val="4"/>
                <c:pt idx="0">
                  <c:v>35.520000000000003</c:v>
                </c:pt>
                <c:pt idx="1">
                  <c:v>31.82</c:v>
                </c:pt>
                <c:pt idx="2">
                  <c:v>57.9</c:v>
                </c:pt>
                <c:pt idx="3">
                  <c:v>62.068000000000005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(2)'!$C$14:$C$17</c15:f>
                <c15:dlblRangeCache>
                  <c:ptCount val="4"/>
                  <c:pt idx="0">
                    <c:v>PSL 14m</c:v>
                  </c:pt>
                  <c:pt idx="1">
                    <c:v>PSL 15,5m</c:v>
                  </c:pt>
                  <c:pt idx="2">
                    <c:v>PSL 17m</c:v>
                  </c:pt>
                  <c:pt idx="3">
                    <c:v>PSL 18,5m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B01-4C40-94BF-894935F4EEAC}"/>
            </c:ext>
          </c:extLst>
        </c:ser>
        <c:ser>
          <c:idx val="0"/>
          <c:order val="3"/>
          <c:tx>
            <c:strRef>
              <c:f>'bilan (2)'!$A$10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1.4927663905413143E-2"/>
                  <c:y val="4.1813831250017586E-2"/>
                </c:manualLayout>
              </c:layout>
              <c:tx>
                <c:rich>
                  <a:bodyPr/>
                  <a:lstStyle/>
                  <a:p>
                    <a:fld id="{33C6E083-12BE-4419-BE49-95C45388ABC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B01-4C40-94BF-894935F4EEAC}"/>
                </c:ext>
              </c:extLst>
            </c:dLbl>
            <c:dLbl>
              <c:idx val="1"/>
              <c:layout>
                <c:manualLayout>
                  <c:x val="-5.8770849468191668E-3"/>
                  <c:y val="-5.2094258546465586E-3"/>
                </c:manualLayout>
              </c:layout>
              <c:tx>
                <c:rich>
                  <a:bodyPr/>
                  <a:lstStyle/>
                  <a:p>
                    <a:fld id="{74C34382-9F21-441B-868F-6566A8C0F53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B01-4C40-94BF-894935F4EEAC}"/>
                </c:ext>
              </c:extLst>
            </c:dLbl>
            <c:dLbl>
              <c:idx val="2"/>
              <c:layout>
                <c:manualLayout>
                  <c:x val="-1.4656054052740322E-2"/>
                  <c:y val="3.4676219016055089E-2"/>
                </c:manualLayout>
              </c:layout>
              <c:tx>
                <c:rich>
                  <a:bodyPr/>
                  <a:lstStyle/>
                  <a:p>
                    <a:fld id="{EB77D1C3-75EA-40F5-8FBA-6F3F757AB1D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B01-4C40-94BF-894935F4EEAC}"/>
                </c:ext>
              </c:extLst>
            </c:dLbl>
            <c:dLbl>
              <c:idx val="3"/>
              <c:layout>
                <c:manualLayout>
                  <c:x val="-5.9937053821752892E-2"/>
                  <c:y val="6.7462002761373652E-2"/>
                </c:manualLayout>
              </c:layout>
              <c:tx>
                <c:rich>
                  <a:bodyPr/>
                  <a:lstStyle/>
                  <a:p>
                    <a:fld id="{78436B4E-BBE6-44A3-8E6E-0A4EC3939C9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B01-4C40-94BF-894935F4EE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(2)'!$I$10:$I$13</c:f>
              <c:numCache>
                <c:formatCode>0.0</c:formatCode>
                <c:ptCount val="4"/>
                <c:pt idx="0">
                  <c:v>1.5980000000000001</c:v>
                </c:pt>
                <c:pt idx="1">
                  <c:v>1.752</c:v>
                </c:pt>
                <c:pt idx="2">
                  <c:v>1.3580000000000001</c:v>
                </c:pt>
                <c:pt idx="3">
                  <c:v>1.3260000000000001</c:v>
                </c:pt>
              </c:numCache>
            </c:numRef>
          </c:xVal>
          <c:yVal>
            <c:numRef>
              <c:f>'bilan (2)'!$G$10:$G$13</c:f>
              <c:numCache>
                <c:formatCode>0</c:formatCode>
                <c:ptCount val="4"/>
                <c:pt idx="0">
                  <c:v>9.6800000000000015</c:v>
                </c:pt>
                <c:pt idx="1">
                  <c:v>17.134</c:v>
                </c:pt>
                <c:pt idx="2">
                  <c:v>17.68</c:v>
                </c:pt>
                <c:pt idx="3">
                  <c:v>17.600000000000001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(2)'!$C$10:$C$13</c15:f>
                <c15:dlblRangeCache>
                  <c:ptCount val="4"/>
                  <c:pt idx="0">
                    <c:v>PL 10m</c:v>
                  </c:pt>
                  <c:pt idx="1">
                    <c:v>PL 11,5m</c:v>
                  </c:pt>
                  <c:pt idx="2">
                    <c:v>PL13</c:v>
                  </c:pt>
                  <c:pt idx="3">
                    <c:v>PL14,5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B01-4C40-94BF-894935F4EE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  <c:max val="2.5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en fonction de distance à la rupture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'bilan (3)'!$A$5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</c:spPr>
          </c:marker>
          <c:dPt>
            <c:idx val="1"/>
            <c:marker>
              <c:spPr>
                <a:solidFill>
                  <a:schemeClr val="tx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AC8-4586-9482-D9337A3A16B3}"/>
              </c:ext>
            </c:extLst>
          </c:dPt>
          <c:dLbls>
            <c:dLbl>
              <c:idx val="0"/>
              <c:layout>
                <c:manualLayout>
                  <c:x val="-4.7613479123349498E-2"/>
                  <c:y val="5.3639258001321147E-2"/>
                </c:manualLayout>
              </c:layout>
              <c:tx>
                <c:rich>
                  <a:bodyPr/>
                  <a:lstStyle/>
                  <a:p>
                    <a:fld id="{F52C91AF-DB71-4438-93AC-28BC4733C9C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AC8-4586-9482-D9337A3A16B3}"/>
                </c:ext>
              </c:extLst>
            </c:dLbl>
            <c:dLbl>
              <c:idx val="1"/>
              <c:layout>
                <c:manualLayout>
                  <c:x val="-4.3916831635375179E-2"/>
                  <c:y val="9.3245407869631411E-2"/>
                </c:manualLayout>
              </c:layout>
              <c:tx>
                <c:rich>
                  <a:bodyPr/>
                  <a:lstStyle/>
                  <a:p>
                    <a:fld id="{E7228C1C-3E59-4C74-8599-34C8B579C05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AC8-4586-9482-D9337A3A16B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'bilan (3)'!$G$26:$G$27</c:f>
                <c:numCache>
                  <c:formatCode>General</c:formatCode>
                  <c:ptCount val="2"/>
                  <c:pt idx="0">
                    <c:v>2.9099828178186828</c:v>
                  </c:pt>
                  <c:pt idx="1">
                    <c:v>7.9857998973177402</c:v>
                  </c:pt>
                </c:numCache>
              </c:numRef>
            </c:plus>
            <c:minus>
              <c:numRef>
                <c:f>'bilan (3)'!$G$26:$G$27</c:f>
                <c:numCache>
                  <c:formatCode>General</c:formatCode>
                  <c:ptCount val="2"/>
                  <c:pt idx="0">
                    <c:v>2.9099828178186828</c:v>
                  </c:pt>
                  <c:pt idx="1">
                    <c:v>7.9857998973177402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'bilan (3)'!$I$26:$I$27</c:f>
                <c:numCache>
                  <c:formatCode>General</c:formatCode>
                  <c:ptCount val="2"/>
                  <c:pt idx="0">
                    <c:v>0.26829088691194847</c:v>
                  </c:pt>
                  <c:pt idx="1">
                    <c:v>9.9146356463563665E-2</c:v>
                  </c:pt>
                </c:numCache>
              </c:numRef>
            </c:plus>
            <c:minus>
              <c:numRef>
                <c:f>'bilan (3)'!$I$26:$I$27</c:f>
                <c:numCache>
                  <c:formatCode>General</c:formatCode>
                  <c:ptCount val="2"/>
                  <c:pt idx="0">
                    <c:v>0.26829088691194847</c:v>
                  </c:pt>
                  <c:pt idx="1">
                    <c:v>9.9146356463563665E-2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(3)'!$I$5:$I$6</c:f>
              <c:numCache>
                <c:formatCode>0.0</c:formatCode>
                <c:ptCount val="2"/>
                <c:pt idx="0">
                  <c:v>0.91600000000000004</c:v>
                </c:pt>
                <c:pt idx="1">
                  <c:v>0.35599999999999998</c:v>
                </c:pt>
              </c:numCache>
            </c:numRef>
          </c:xVal>
          <c:yVal>
            <c:numRef>
              <c:f>'bilan (3)'!$G$5:$G$6</c:f>
              <c:numCache>
                <c:formatCode>0</c:formatCode>
                <c:ptCount val="2"/>
                <c:pt idx="0">
                  <c:v>14.24</c:v>
                </c:pt>
                <c:pt idx="1">
                  <c:v>19.940000000000001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(3)'!$C$5:$C$6</c15:f>
                <c15:dlblRangeCache>
                  <c:ptCount val="2"/>
                  <c:pt idx="0">
                    <c:v>bjorg</c:v>
                  </c:pt>
                  <c:pt idx="1">
                    <c:v>gerblé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AC8-4586-9482-D9337A3A16B3}"/>
            </c:ext>
          </c:extLst>
        </c:ser>
        <c:ser>
          <c:idx val="3"/>
          <c:order val="1"/>
          <c:tx>
            <c:strRef>
              <c:f>'bilan (3)'!$A$7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ln>
                <a:noFill/>
              </a:ln>
            </c:spPr>
          </c:marker>
          <c:dLbls>
            <c:dLbl>
              <c:idx val="0"/>
              <c:layout>
                <c:manualLayout>
                  <c:x val="-8.2949784981198926E-2"/>
                  <c:y val="-7.5702463406128887E-3"/>
                </c:manualLayout>
              </c:layout>
              <c:tx>
                <c:rich>
                  <a:bodyPr/>
                  <a:lstStyle/>
                  <a:p>
                    <a:fld id="{5501F325-0489-46D4-AB3F-E9A8706FC9B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AC8-4586-9482-D9337A3A16B3}"/>
                </c:ext>
              </c:extLst>
            </c:dLbl>
            <c:dLbl>
              <c:idx val="1"/>
              <c:layout>
                <c:manualLayout>
                  <c:x val="-6.2049083877643747E-2"/>
                  <c:y val="5.7239817080258382E-2"/>
                </c:manualLayout>
              </c:layout>
              <c:tx>
                <c:rich>
                  <a:bodyPr/>
                  <a:lstStyle/>
                  <a:p>
                    <a:fld id="{EC919C35-BC3B-4D82-B3CB-17DB847C042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AC8-4586-9482-D9337A3A16B3}"/>
                </c:ext>
              </c:extLst>
            </c:dLbl>
            <c:dLbl>
              <c:idx val="2"/>
              <c:layout>
                <c:manualLayout>
                  <c:x val="-9.1584190810850674E-2"/>
                  <c:y val="-3.2774159893174032E-2"/>
                </c:manualLayout>
              </c:layout>
              <c:tx>
                <c:rich>
                  <a:bodyPr/>
                  <a:lstStyle/>
                  <a:p>
                    <a:fld id="{E00A574F-356A-4384-8AA8-2B93DA40130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AC8-4586-9482-D9337A3A1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9900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(3)'!$I$28:$I$30</c:f>
                <c:numCache>
                  <c:formatCode>General</c:formatCode>
                  <c:ptCount val="3"/>
                  <c:pt idx="0">
                    <c:v>0.16703293088490276</c:v>
                  </c:pt>
                  <c:pt idx="1">
                    <c:v>0.14106735979665888</c:v>
                  </c:pt>
                  <c:pt idx="2">
                    <c:v>0.1962651268055538</c:v>
                  </c:pt>
                </c:numCache>
              </c:numRef>
            </c:plus>
            <c:minus>
              <c:numRef>
                <c:f>'bilan (3)'!$I$28:$I$30</c:f>
                <c:numCache>
                  <c:formatCode>General</c:formatCode>
                  <c:ptCount val="3"/>
                  <c:pt idx="0">
                    <c:v>0.16703293088490276</c:v>
                  </c:pt>
                  <c:pt idx="1">
                    <c:v>0.14106735979665888</c:v>
                  </c:pt>
                  <c:pt idx="2">
                    <c:v>0.1962651268055538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(3)'!$G$28:$G$30</c:f>
                <c:numCache>
                  <c:formatCode>General</c:formatCode>
                  <c:ptCount val="3"/>
                  <c:pt idx="0">
                    <c:v>5.3082012019138967</c:v>
                  </c:pt>
                  <c:pt idx="1">
                    <c:v>3.5059948659403357</c:v>
                  </c:pt>
                  <c:pt idx="2">
                    <c:v>2.7905196648653363</c:v>
                  </c:pt>
                </c:numCache>
              </c:numRef>
            </c:plus>
            <c:minus>
              <c:numRef>
                <c:f>'bilan (3)'!$G$28:$G$30</c:f>
                <c:numCache>
                  <c:formatCode>General</c:formatCode>
                  <c:ptCount val="3"/>
                  <c:pt idx="0">
                    <c:v>5.3082012019138967</c:v>
                  </c:pt>
                  <c:pt idx="1">
                    <c:v>3.5059948659403357</c:v>
                  </c:pt>
                  <c:pt idx="2">
                    <c:v>2.7905196648653363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(3)'!$I$7:$I$9</c:f>
              <c:numCache>
                <c:formatCode>0.0</c:formatCode>
                <c:ptCount val="3"/>
                <c:pt idx="0">
                  <c:v>1.2999999999999998</c:v>
                </c:pt>
                <c:pt idx="1">
                  <c:v>1.55</c:v>
                </c:pt>
                <c:pt idx="2">
                  <c:v>1.298</c:v>
                </c:pt>
              </c:numCache>
            </c:numRef>
          </c:xVal>
          <c:yVal>
            <c:numRef>
              <c:f>'bilan (3)'!$G$7:$G$9</c:f>
              <c:numCache>
                <c:formatCode>0</c:formatCode>
                <c:ptCount val="3"/>
                <c:pt idx="0">
                  <c:v>32.28</c:v>
                </c:pt>
                <c:pt idx="1">
                  <c:v>34.880000000000003</c:v>
                </c:pt>
                <c:pt idx="2">
                  <c:v>21.779999999999998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(3)'!$C$7:$C$9</c15:f>
                <c15:dlblRangeCache>
                  <c:ptCount val="3"/>
                  <c:pt idx="0">
                    <c:v>Ref 10</c:v>
                  </c:pt>
                  <c:pt idx="1">
                    <c:v>Ref 11,25</c:v>
                  </c:pt>
                  <c:pt idx="2">
                    <c:v>Ref 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AC8-4586-9482-D9337A3A16B3}"/>
            </c:ext>
          </c:extLst>
        </c:ser>
        <c:ser>
          <c:idx val="5"/>
          <c:order val="2"/>
          <c:tx>
            <c:strRef>
              <c:f>'bilan (3)'!$A$14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00FF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7797828786871081E-3"/>
                  <c:y val="-3.6912818273836207E-4"/>
                </c:manualLayout>
              </c:layout>
              <c:tx>
                <c:rich>
                  <a:bodyPr/>
                  <a:lstStyle/>
                  <a:p>
                    <a:fld id="{C1631783-A11F-4054-98DE-EED57F392DB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AC8-4586-9482-D9337A3A16B3}"/>
                </c:ext>
              </c:extLst>
            </c:dLbl>
            <c:dLbl>
              <c:idx val="1"/>
              <c:layout>
                <c:manualLayout>
                  <c:x val="-0.11971603682812042"/>
                  <c:y val="-2.9173600814236669E-2"/>
                </c:manualLayout>
              </c:layout>
              <c:tx>
                <c:rich>
                  <a:bodyPr/>
                  <a:lstStyle/>
                  <a:p>
                    <a:fld id="{D96B2260-CC7D-4C1E-BF10-9CBB9E619DB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AC8-4586-9482-D9337A3A16B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D7E5C7-7603-48C8-9376-EC25B1967AA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AC8-4586-9482-D9337A3A16B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E49245D-57CA-4A1F-BDEF-AD545204FBF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AC8-4586-9482-D9337A3A1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(3)'!$I$35:$I$38</c:f>
                <c:numCache>
                  <c:formatCode>General</c:formatCode>
                  <c:ptCount val="4"/>
                  <c:pt idx="0">
                    <c:v>0.49132473986152947</c:v>
                  </c:pt>
                  <c:pt idx="1">
                    <c:v>0.4686683262180199</c:v>
                  </c:pt>
                  <c:pt idx="2">
                    <c:v>0.21799082549501941</c:v>
                  </c:pt>
                  <c:pt idx="3">
                    <c:v>0.38526614177734136</c:v>
                  </c:pt>
                </c:numCache>
              </c:numRef>
            </c:plus>
            <c:minus>
              <c:numRef>
                <c:f>'bilan (3)'!$I$35:$I$38</c:f>
                <c:numCache>
                  <c:formatCode>General</c:formatCode>
                  <c:ptCount val="4"/>
                  <c:pt idx="0">
                    <c:v>0.49132473986152947</c:v>
                  </c:pt>
                  <c:pt idx="1">
                    <c:v>0.4686683262180199</c:v>
                  </c:pt>
                  <c:pt idx="2">
                    <c:v>0.21799082549501941</c:v>
                  </c:pt>
                  <c:pt idx="3">
                    <c:v>0.38526614177734136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(3)'!$G$35:$G$38</c:f>
                <c:numCache>
                  <c:formatCode>General</c:formatCode>
                  <c:ptCount val="4"/>
                  <c:pt idx="0">
                    <c:v>4.6348678514063097</c:v>
                  </c:pt>
                  <c:pt idx="1">
                    <c:v>21.297582022379917</c:v>
                  </c:pt>
                  <c:pt idx="2">
                    <c:v>14.330561747538015</c:v>
                  </c:pt>
                  <c:pt idx="3">
                    <c:v>16.791727725281824</c:v>
                  </c:pt>
                </c:numCache>
              </c:numRef>
            </c:plus>
            <c:minus>
              <c:numRef>
                <c:f>'bilan (3)'!$G$35:$G$38</c:f>
                <c:numCache>
                  <c:formatCode>General</c:formatCode>
                  <c:ptCount val="4"/>
                  <c:pt idx="0">
                    <c:v>4.6348678514063097</c:v>
                  </c:pt>
                  <c:pt idx="1">
                    <c:v>21.297582022379917</c:v>
                  </c:pt>
                  <c:pt idx="2">
                    <c:v>14.330561747538015</c:v>
                  </c:pt>
                  <c:pt idx="3">
                    <c:v>16.791727725281824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(3)'!$I$14:$I$17</c:f>
              <c:numCache>
                <c:formatCode>0.0</c:formatCode>
                <c:ptCount val="4"/>
                <c:pt idx="0">
                  <c:v>1.81</c:v>
                </c:pt>
                <c:pt idx="1">
                  <c:v>1.1199999999999999</c:v>
                </c:pt>
                <c:pt idx="2">
                  <c:v>1.4279999999999999</c:v>
                </c:pt>
                <c:pt idx="3">
                  <c:v>2.0040000000000004</c:v>
                </c:pt>
              </c:numCache>
            </c:numRef>
          </c:xVal>
          <c:yVal>
            <c:numRef>
              <c:f>'bilan (3)'!$G$14:$G$17</c:f>
              <c:numCache>
                <c:formatCode>0</c:formatCode>
                <c:ptCount val="4"/>
                <c:pt idx="0">
                  <c:v>35.520000000000003</c:v>
                </c:pt>
                <c:pt idx="1">
                  <c:v>31.82</c:v>
                </c:pt>
                <c:pt idx="2">
                  <c:v>57.9</c:v>
                </c:pt>
                <c:pt idx="3">
                  <c:v>62.068000000000005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(3)'!$C$14:$C$17</c15:f>
                <c15:dlblRangeCache>
                  <c:ptCount val="4"/>
                  <c:pt idx="0">
                    <c:v>PSL 14m</c:v>
                  </c:pt>
                  <c:pt idx="1">
                    <c:v>PSL 15,5m</c:v>
                  </c:pt>
                  <c:pt idx="2">
                    <c:v>PSL 17m</c:v>
                  </c:pt>
                  <c:pt idx="3">
                    <c:v>PSL 18,5m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AC8-4586-9482-D9337A3A16B3}"/>
            </c:ext>
          </c:extLst>
        </c:ser>
        <c:ser>
          <c:idx val="0"/>
          <c:order val="3"/>
          <c:tx>
            <c:strRef>
              <c:f>'bilan (3)'!$A$10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1.4927663905413143E-2"/>
                  <c:y val="4.1813831250017586E-2"/>
                </c:manualLayout>
              </c:layout>
              <c:tx>
                <c:rich>
                  <a:bodyPr/>
                  <a:lstStyle/>
                  <a:p>
                    <a:fld id="{CC579FF2-8674-4345-80EA-077AF7ECD55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AC8-4586-9482-D9337A3A16B3}"/>
                </c:ext>
              </c:extLst>
            </c:dLbl>
            <c:dLbl>
              <c:idx val="1"/>
              <c:layout>
                <c:manualLayout>
                  <c:x val="-1.6676131085917607E-2"/>
                  <c:y val="-4.4916832755448395E-2"/>
                </c:manualLayout>
              </c:layout>
              <c:tx>
                <c:rich>
                  <a:bodyPr/>
                  <a:lstStyle/>
                  <a:p>
                    <a:fld id="{C1BA726D-F6EA-4789-97FF-E3A2102B3176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AC8-4586-9482-D9337A3A16B3}"/>
                </c:ext>
              </c:extLst>
            </c:dLbl>
            <c:dLbl>
              <c:idx val="2"/>
              <c:layout>
                <c:manualLayout>
                  <c:x val="-1.4656054052740322E-2"/>
                  <c:y val="3.4676219016055089E-2"/>
                </c:manualLayout>
              </c:layout>
              <c:tx>
                <c:rich>
                  <a:bodyPr/>
                  <a:lstStyle/>
                  <a:p>
                    <a:fld id="{9386794C-7021-46F4-90F7-D3D28189630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AC8-4586-9482-D9337A3A16B3}"/>
                </c:ext>
              </c:extLst>
            </c:dLbl>
            <c:dLbl>
              <c:idx val="3"/>
              <c:layout>
                <c:manualLayout>
                  <c:x val="-5.9937053821752892E-2"/>
                  <c:y val="6.7462002761373652E-2"/>
                </c:manualLayout>
              </c:layout>
              <c:tx>
                <c:rich>
                  <a:bodyPr/>
                  <a:lstStyle/>
                  <a:p>
                    <a:fld id="{1FF9D5C3-A01F-46E6-9AAA-745B62EFDD2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AC8-4586-9482-D9337A3A1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'bilan (3)'!$I$31:$I$34</c:f>
                <c:numCache>
                  <c:formatCode>General</c:formatCode>
                  <c:ptCount val="4"/>
                  <c:pt idx="0">
                    <c:v>0.1329285522376589</c:v>
                  </c:pt>
                  <c:pt idx="1">
                    <c:v>0.48339424903488371</c:v>
                  </c:pt>
                  <c:pt idx="2">
                    <c:v>0.12214745187681976</c:v>
                  </c:pt>
                  <c:pt idx="3">
                    <c:v>0.32761257607118766</c:v>
                  </c:pt>
                </c:numCache>
              </c:numRef>
            </c:plus>
            <c:minus>
              <c:numRef>
                <c:f>'bilan (3)'!$I$31:$I$34</c:f>
                <c:numCache>
                  <c:formatCode>General</c:formatCode>
                  <c:ptCount val="4"/>
                  <c:pt idx="0">
                    <c:v>0.1329285522376589</c:v>
                  </c:pt>
                  <c:pt idx="1">
                    <c:v>0.48339424903488371</c:v>
                  </c:pt>
                  <c:pt idx="2">
                    <c:v>0.12214745187681976</c:v>
                  </c:pt>
                  <c:pt idx="3">
                    <c:v>0.32761257607118766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'bilan (3)'!$G$31:$G$34</c:f>
                <c:numCache>
                  <c:formatCode>General</c:formatCode>
                  <c:ptCount val="4"/>
                  <c:pt idx="0">
                    <c:v>1.4669696656713753</c:v>
                  </c:pt>
                  <c:pt idx="1">
                    <c:v>3.4590938119686689</c:v>
                  </c:pt>
                  <c:pt idx="2">
                    <c:v>1.5106290080625362</c:v>
                  </c:pt>
                  <c:pt idx="3">
                    <c:v>1.5297058540778352</c:v>
                  </c:pt>
                </c:numCache>
              </c:numRef>
            </c:plus>
            <c:minus>
              <c:numRef>
                <c:f>'bilan (3)'!$G$31:$G$34</c:f>
                <c:numCache>
                  <c:formatCode>General</c:formatCode>
                  <c:ptCount val="4"/>
                  <c:pt idx="0">
                    <c:v>1.4669696656713753</c:v>
                  </c:pt>
                  <c:pt idx="1">
                    <c:v>3.4590938119686689</c:v>
                  </c:pt>
                  <c:pt idx="2">
                    <c:v>1.5106290080625362</c:v>
                  </c:pt>
                  <c:pt idx="3">
                    <c:v>1.5297058540778352</c:v>
                  </c:pt>
                </c:numCache>
              </c:numRef>
            </c:minus>
            <c:spPr>
              <a:ln>
                <a:solidFill>
                  <a:schemeClr val="bg2">
                    <a:lumMod val="75000"/>
                  </a:schemeClr>
                </a:solidFill>
              </a:ln>
            </c:spPr>
          </c:errBars>
          <c:xVal>
            <c:numRef>
              <c:f>'bilan (3)'!$I$10:$I$13</c:f>
              <c:numCache>
                <c:formatCode>0.0</c:formatCode>
                <c:ptCount val="4"/>
                <c:pt idx="0">
                  <c:v>1.5980000000000001</c:v>
                </c:pt>
                <c:pt idx="1">
                  <c:v>1.752</c:v>
                </c:pt>
                <c:pt idx="2">
                  <c:v>1.3580000000000001</c:v>
                </c:pt>
                <c:pt idx="3">
                  <c:v>1.3260000000000001</c:v>
                </c:pt>
              </c:numCache>
            </c:numRef>
          </c:xVal>
          <c:yVal>
            <c:numRef>
              <c:f>'bilan (3)'!$G$10:$G$13</c:f>
              <c:numCache>
                <c:formatCode>0</c:formatCode>
                <c:ptCount val="4"/>
                <c:pt idx="0">
                  <c:v>9.6800000000000015</c:v>
                </c:pt>
                <c:pt idx="1">
                  <c:v>17.134</c:v>
                </c:pt>
                <c:pt idx="2">
                  <c:v>17.68</c:v>
                </c:pt>
                <c:pt idx="3">
                  <c:v>17.600000000000001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(3)'!$C$10:$C$13</c15:f>
                <c15:dlblRangeCache>
                  <c:ptCount val="4"/>
                  <c:pt idx="0">
                    <c:v>PL 10m</c:v>
                  </c:pt>
                  <c:pt idx="1">
                    <c:v>PL 11,5m</c:v>
                  </c:pt>
                  <c:pt idx="2">
                    <c:v>PL13</c:v>
                  </c:pt>
                  <c:pt idx="3">
                    <c:v>PL14,5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AC8-4586-9482-D9337A3A16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  <c:max val="2.5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Contrainte</a:t>
            </a:r>
            <a:r>
              <a:rPr lang="en-US" baseline="0"/>
              <a:t> </a:t>
            </a:r>
            <a:r>
              <a:rPr lang="en-US"/>
              <a:t>en fonction de déformation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'bilan (3)'!$A$5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(3)'!$J$5:$J$6</c:f>
              <c:numCache>
                <c:formatCode>0.0%</c:formatCode>
                <c:ptCount val="2"/>
                <c:pt idx="0">
                  <c:v>1.645456995640111E-2</c:v>
                </c:pt>
                <c:pt idx="1">
                  <c:v>7.7585097106619124E-3</c:v>
                </c:pt>
              </c:numCache>
            </c:numRef>
          </c:xVal>
          <c:yVal>
            <c:numRef>
              <c:f>'bilan (3)'!$H$5:$H$6</c:f>
              <c:numCache>
                <c:formatCode>0</c:formatCode>
                <c:ptCount val="2"/>
                <c:pt idx="0">
                  <c:v>449.59260301140438</c:v>
                </c:pt>
                <c:pt idx="1">
                  <c:v>453.96344106465421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D-4519-8565-D50E164C7E56}"/>
            </c:ext>
          </c:extLst>
        </c:ser>
        <c:ser>
          <c:idx val="5"/>
          <c:order val="1"/>
          <c:tx>
            <c:strRef>
              <c:f>'bilan (3)'!$A$10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8"/>
            <c:spPr>
              <a:solidFill>
                <a:srgbClr val="0000FF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(3)'!$J$10:$J$13</c:f>
              <c:numCache>
                <c:formatCode>0.0%</c:formatCode>
                <c:ptCount val="4"/>
                <c:pt idx="0">
                  <c:v>6.4254300435988912E-2</c:v>
                </c:pt>
                <c:pt idx="1">
                  <c:v>6.4045596512088784E-2</c:v>
                </c:pt>
                <c:pt idx="2">
                  <c:v>5.1989726516052326E-2</c:v>
                </c:pt>
                <c:pt idx="3">
                  <c:v>5.0921411018628612E-2</c:v>
                </c:pt>
              </c:numCache>
            </c:numRef>
          </c:xVal>
          <c:yVal>
            <c:numRef>
              <c:f>'bilan (3)'!$H$10:$H$13</c:f>
              <c:numCache>
                <c:formatCode>0</c:formatCode>
                <c:ptCount val="4"/>
                <c:pt idx="0">
                  <c:v>54.203961235147823</c:v>
                </c:pt>
                <c:pt idx="1">
                  <c:v>104.78704081670574</c:v>
                </c:pt>
                <c:pt idx="2">
                  <c:v>102.98015303409474</c:v>
                </c:pt>
                <c:pt idx="3">
                  <c:v>101.13097964736851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D-4519-8565-D50E164C7E56}"/>
            </c:ext>
          </c:extLst>
        </c:ser>
        <c:ser>
          <c:idx val="6"/>
          <c:order val="2"/>
          <c:tx>
            <c:strRef>
              <c:f>'bilan (3)'!$A$7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7"/>
            <c:spPr>
              <a:solidFill>
                <a:srgbClr val="FFC000"/>
              </a:solidFill>
              <a:ln>
                <a:noFill/>
              </a:ln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xVal>
            <c:numRef>
              <c:f>'bilan (3)'!$J$7:$J$9</c:f>
              <c:numCache>
                <c:formatCode>0.0%</c:formatCode>
                <c:ptCount val="3"/>
                <c:pt idx="0">
                  <c:v>6.0052508917954814E-2</c:v>
                </c:pt>
                <c:pt idx="1">
                  <c:v>7.1845834324217206E-2</c:v>
                </c:pt>
                <c:pt idx="2">
                  <c:v>5.8383448275862074E-2</c:v>
                </c:pt>
              </c:numCache>
            </c:numRef>
          </c:xVal>
          <c:yVal>
            <c:numRef>
              <c:f>'bilan (3)'!$H$7:$H$9</c:f>
              <c:numCache>
                <c:formatCode>0</c:formatCode>
                <c:ptCount val="3"/>
                <c:pt idx="0">
                  <c:v>148.38173713493057</c:v>
                </c:pt>
                <c:pt idx="1">
                  <c:v>159.41590626079147</c:v>
                </c:pt>
                <c:pt idx="2">
                  <c:v>102.71211957027177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1D-4519-8565-D50E164C7E56}"/>
            </c:ext>
          </c:extLst>
        </c:ser>
        <c:ser>
          <c:idx val="0"/>
          <c:order val="3"/>
          <c:tx>
            <c:strRef>
              <c:f>'bilan (3)'!$A$14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stdErr"/>
            <c:noEndCap val="0"/>
          </c:errBars>
          <c:errBars>
            <c:errDir val="y"/>
            <c:errBarType val="both"/>
            <c:errValType val="stdErr"/>
            <c:noEndCap val="0"/>
          </c:errBars>
          <c:xVal>
            <c:numRef>
              <c:f>'bilan (3)'!$J$14:$J$17</c:f>
              <c:numCache>
                <c:formatCode>0.0%</c:formatCode>
                <c:ptCount val="4"/>
                <c:pt idx="0">
                  <c:v>0.10768139516448674</c:v>
                </c:pt>
                <c:pt idx="1">
                  <c:v>5.9034736424891009E-2</c:v>
                </c:pt>
                <c:pt idx="2">
                  <c:v>5.2268569163694024E-2</c:v>
                </c:pt>
                <c:pt idx="3">
                  <c:v>0.12072104637336505</c:v>
                </c:pt>
              </c:numCache>
            </c:numRef>
          </c:xVal>
          <c:yVal>
            <c:numRef>
              <c:f>'bilan (3)'!$H$14:$H$17</c:f>
              <c:numCache>
                <c:formatCode>0</c:formatCode>
                <c:ptCount val="4"/>
                <c:pt idx="0">
                  <c:v>99.175784539398052</c:v>
                </c:pt>
                <c:pt idx="1">
                  <c:v>105.90966594209092</c:v>
                </c:pt>
                <c:pt idx="2">
                  <c:v>413.10960273894915</c:v>
                </c:pt>
                <c:pt idx="3">
                  <c:v>166.52141238624526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1D-4519-8565-D50E164C7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en fonction de distance à la rupture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'bilan (3)'!$A$5</c:f>
              <c:strCache>
                <c:ptCount val="1"/>
                <c:pt idx="0">
                  <c:v>commerce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</c:spPr>
          </c:marker>
          <c:dPt>
            <c:idx val="1"/>
            <c:marker>
              <c:spPr>
                <a:solidFill>
                  <a:schemeClr val="tx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F8A-4252-87BC-04E0B884D15E}"/>
              </c:ext>
            </c:extLst>
          </c:dPt>
          <c:dLbls>
            <c:dLbl>
              <c:idx val="0"/>
              <c:layout>
                <c:manualLayout>
                  <c:x val="-4.7613479123349498E-2"/>
                  <c:y val="5.3639258001321147E-2"/>
                </c:manualLayout>
              </c:layout>
              <c:tx>
                <c:rich>
                  <a:bodyPr/>
                  <a:lstStyle/>
                  <a:p>
                    <a:fld id="{06E58E44-2535-4559-A1F4-45AED39A742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F8A-4252-87BC-04E0B884D15E}"/>
                </c:ext>
              </c:extLst>
            </c:dLbl>
            <c:dLbl>
              <c:idx val="1"/>
              <c:layout>
                <c:manualLayout>
                  <c:x val="-4.3916831635375179E-2"/>
                  <c:y val="9.3245407869631411E-2"/>
                </c:manualLayout>
              </c:layout>
              <c:tx>
                <c:rich>
                  <a:bodyPr/>
                  <a:lstStyle/>
                  <a:p>
                    <a:fld id="{6DF78557-30E5-4E23-B3BB-06AE9E85DDB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F8A-4252-87BC-04E0B884D15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(3)'!$I$5:$I$6</c:f>
              <c:numCache>
                <c:formatCode>0.0</c:formatCode>
                <c:ptCount val="2"/>
                <c:pt idx="0">
                  <c:v>0.91600000000000004</c:v>
                </c:pt>
                <c:pt idx="1">
                  <c:v>0.35599999999999998</c:v>
                </c:pt>
              </c:numCache>
            </c:numRef>
          </c:xVal>
          <c:yVal>
            <c:numRef>
              <c:f>'bilan (3)'!$G$5:$G$6</c:f>
              <c:numCache>
                <c:formatCode>0</c:formatCode>
                <c:ptCount val="2"/>
                <c:pt idx="0">
                  <c:v>14.24</c:v>
                </c:pt>
                <c:pt idx="1">
                  <c:v>19.940000000000001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(3)'!$C$5:$C$6</c15:f>
                <c15:dlblRangeCache>
                  <c:ptCount val="2"/>
                  <c:pt idx="0">
                    <c:v>bjorg</c:v>
                  </c:pt>
                  <c:pt idx="1">
                    <c:v>gerblé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F8A-4252-87BC-04E0B884D15E}"/>
            </c:ext>
          </c:extLst>
        </c:ser>
        <c:ser>
          <c:idx val="3"/>
          <c:order val="1"/>
          <c:tx>
            <c:strRef>
              <c:f>'bilan (3)'!$A$7</c:f>
              <c:strCache>
                <c:ptCount val="1"/>
                <c:pt idx="0">
                  <c:v>Témoin</c:v>
                </c:pt>
              </c:strCache>
            </c:strRef>
          </c:tx>
          <c:spPr>
            <a:ln w="25400">
              <a:noFill/>
            </a:ln>
          </c:spPr>
          <c:marker>
            <c:symbol val="square"/>
            <c:size val="7"/>
            <c:spPr>
              <a:ln>
                <a:noFill/>
              </a:ln>
            </c:spPr>
          </c:marker>
          <c:dLbls>
            <c:dLbl>
              <c:idx val="0"/>
              <c:layout>
                <c:manualLayout>
                  <c:x val="-8.2949784981198926E-2"/>
                  <c:y val="-7.5702463406128887E-3"/>
                </c:manualLayout>
              </c:layout>
              <c:tx>
                <c:rich>
                  <a:bodyPr/>
                  <a:lstStyle/>
                  <a:p>
                    <a:fld id="{31F476C0-0B1B-4A81-837D-E043C840935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8A-4252-87BC-04E0B884D15E}"/>
                </c:ext>
              </c:extLst>
            </c:dLbl>
            <c:dLbl>
              <c:idx val="1"/>
              <c:layout>
                <c:manualLayout>
                  <c:x val="-6.2049083877643747E-2"/>
                  <c:y val="5.7239817080258382E-2"/>
                </c:manualLayout>
              </c:layout>
              <c:tx>
                <c:rich>
                  <a:bodyPr/>
                  <a:lstStyle/>
                  <a:p>
                    <a:fld id="{66D4D6DF-D3DA-46CF-A8EA-C5772EEF466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F8A-4252-87BC-04E0B884D15E}"/>
                </c:ext>
              </c:extLst>
            </c:dLbl>
            <c:dLbl>
              <c:idx val="2"/>
              <c:layout>
                <c:manualLayout>
                  <c:x val="-9.1584190810850674E-2"/>
                  <c:y val="-3.2774159893174032E-2"/>
                </c:manualLayout>
              </c:layout>
              <c:tx>
                <c:rich>
                  <a:bodyPr/>
                  <a:lstStyle/>
                  <a:p>
                    <a:fld id="{1D477213-94C2-408B-9F29-827F33E3B38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F8A-4252-87BC-04E0B884D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9900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(3)'!$I$7:$I$9</c:f>
              <c:numCache>
                <c:formatCode>0.0</c:formatCode>
                <c:ptCount val="3"/>
                <c:pt idx="0">
                  <c:v>1.2999999999999998</c:v>
                </c:pt>
                <c:pt idx="1">
                  <c:v>1.55</c:v>
                </c:pt>
                <c:pt idx="2">
                  <c:v>1.298</c:v>
                </c:pt>
              </c:numCache>
            </c:numRef>
          </c:xVal>
          <c:yVal>
            <c:numRef>
              <c:f>'bilan (3)'!$G$7:$G$9</c:f>
              <c:numCache>
                <c:formatCode>0</c:formatCode>
                <c:ptCount val="3"/>
                <c:pt idx="0">
                  <c:v>32.28</c:v>
                </c:pt>
                <c:pt idx="1">
                  <c:v>34.880000000000003</c:v>
                </c:pt>
                <c:pt idx="2">
                  <c:v>21.779999999999998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(3)'!$C$7:$C$9</c15:f>
                <c15:dlblRangeCache>
                  <c:ptCount val="3"/>
                  <c:pt idx="0">
                    <c:v>Ref 10</c:v>
                  </c:pt>
                  <c:pt idx="1">
                    <c:v>Ref 11,25</c:v>
                  </c:pt>
                  <c:pt idx="2">
                    <c:v>Ref 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F8A-4252-87BC-04E0B884D15E}"/>
            </c:ext>
          </c:extLst>
        </c:ser>
        <c:ser>
          <c:idx val="5"/>
          <c:order val="2"/>
          <c:tx>
            <c:strRef>
              <c:f>'bilan (3)'!$A$14</c:f>
              <c:strCache>
                <c:ptCount val="1"/>
                <c:pt idx="0">
                  <c:v>Protéines sériques de lait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00FF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5.7797828786871081E-3"/>
                  <c:y val="-3.6912818273836207E-4"/>
                </c:manualLayout>
              </c:layout>
              <c:tx>
                <c:rich>
                  <a:bodyPr/>
                  <a:lstStyle/>
                  <a:p>
                    <a:fld id="{AA9560E9-5E61-48C2-8E1D-659F5B06709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F8A-4252-87BC-04E0B884D15E}"/>
                </c:ext>
              </c:extLst>
            </c:dLbl>
            <c:dLbl>
              <c:idx val="1"/>
              <c:layout>
                <c:manualLayout>
                  <c:x val="-0.11971603682812042"/>
                  <c:y val="-2.9173600814236669E-2"/>
                </c:manualLayout>
              </c:layout>
              <c:tx>
                <c:rich>
                  <a:bodyPr/>
                  <a:lstStyle/>
                  <a:p>
                    <a:fld id="{30537525-0B12-428F-A023-EBD373F8797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F8A-4252-87BC-04E0B884D1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023F2E9-F31E-4BC9-8863-D3D4AD5D359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F8A-4252-87BC-04E0B884D1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8EA082-039F-4572-AD92-3705BE2D77E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F8A-4252-87BC-04E0B884D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00FF"/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(3)'!$I$14:$I$17</c:f>
              <c:numCache>
                <c:formatCode>0.0</c:formatCode>
                <c:ptCount val="4"/>
                <c:pt idx="0">
                  <c:v>1.81</c:v>
                </c:pt>
                <c:pt idx="1">
                  <c:v>1.1199999999999999</c:v>
                </c:pt>
                <c:pt idx="2">
                  <c:v>1.4279999999999999</c:v>
                </c:pt>
                <c:pt idx="3">
                  <c:v>2.0040000000000004</c:v>
                </c:pt>
              </c:numCache>
            </c:numRef>
          </c:xVal>
          <c:yVal>
            <c:numRef>
              <c:f>'bilan (3)'!$G$14:$G$17</c:f>
              <c:numCache>
                <c:formatCode>0</c:formatCode>
                <c:ptCount val="4"/>
                <c:pt idx="0">
                  <c:v>35.520000000000003</c:v>
                </c:pt>
                <c:pt idx="1">
                  <c:v>31.82</c:v>
                </c:pt>
                <c:pt idx="2">
                  <c:v>57.9</c:v>
                </c:pt>
                <c:pt idx="3">
                  <c:v>62.068000000000005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(3)'!$C$14:$C$17</c15:f>
                <c15:dlblRangeCache>
                  <c:ptCount val="4"/>
                  <c:pt idx="0">
                    <c:v>PSL 14m</c:v>
                  </c:pt>
                  <c:pt idx="1">
                    <c:v>PSL 15,5m</c:v>
                  </c:pt>
                  <c:pt idx="2">
                    <c:v>PSL 17m</c:v>
                  </c:pt>
                  <c:pt idx="3">
                    <c:v>PSL 18,5m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F8A-4252-87BC-04E0B884D15E}"/>
            </c:ext>
          </c:extLst>
        </c:ser>
        <c:ser>
          <c:idx val="0"/>
          <c:order val="3"/>
          <c:tx>
            <c:strRef>
              <c:f>'bilan (3)'!$A$10</c:f>
              <c:strCache>
                <c:ptCount val="1"/>
                <c:pt idx="0">
                  <c:v>Poudres levantes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1.4927663905413143E-2"/>
                  <c:y val="4.1813831250017586E-2"/>
                </c:manualLayout>
              </c:layout>
              <c:tx>
                <c:rich>
                  <a:bodyPr/>
                  <a:lstStyle/>
                  <a:p>
                    <a:fld id="{718CF83B-FE88-47B6-BE49-33EC09069EC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F8A-4252-87BC-04E0B884D15E}"/>
                </c:ext>
              </c:extLst>
            </c:dLbl>
            <c:dLbl>
              <c:idx val="1"/>
              <c:layout>
                <c:manualLayout>
                  <c:x val="-5.8770849468191668E-3"/>
                  <c:y val="-5.2094258546465586E-3"/>
                </c:manualLayout>
              </c:layout>
              <c:tx>
                <c:rich>
                  <a:bodyPr/>
                  <a:lstStyle/>
                  <a:p>
                    <a:fld id="{638D85F9-698B-402E-857E-033A7563147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F8A-4252-87BC-04E0B884D15E}"/>
                </c:ext>
              </c:extLst>
            </c:dLbl>
            <c:dLbl>
              <c:idx val="2"/>
              <c:layout>
                <c:manualLayout>
                  <c:x val="-1.4656054052740322E-2"/>
                  <c:y val="3.4676219016055089E-2"/>
                </c:manualLayout>
              </c:layout>
              <c:tx>
                <c:rich>
                  <a:bodyPr/>
                  <a:lstStyle/>
                  <a:p>
                    <a:fld id="{6DCB295F-86DE-46C8-B682-4212F8771B2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F8A-4252-87BC-04E0B884D15E}"/>
                </c:ext>
              </c:extLst>
            </c:dLbl>
            <c:dLbl>
              <c:idx val="3"/>
              <c:layout>
                <c:manualLayout>
                  <c:x val="-5.9937053821752892E-2"/>
                  <c:y val="6.7462002761373652E-2"/>
                </c:manualLayout>
              </c:layout>
              <c:tx>
                <c:rich>
                  <a:bodyPr/>
                  <a:lstStyle/>
                  <a:p>
                    <a:fld id="{E98DE0FF-25BF-4A47-A7B6-5AE06D81ABB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F8A-4252-87BC-04E0B884D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'bilan (3)'!$I$10:$I$13</c:f>
              <c:numCache>
                <c:formatCode>0.0</c:formatCode>
                <c:ptCount val="4"/>
                <c:pt idx="0">
                  <c:v>1.5980000000000001</c:v>
                </c:pt>
                <c:pt idx="1">
                  <c:v>1.752</c:v>
                </c:pt>
                <c:pt idx="2">
                  <c:v>1.3580000000000001</c:v>
                </c:pt>
                <c:pt idx="3">
                  <c:v>1.3260000000000001</c:v>
                </c:pt>
              </c:numCache>
            </c:numRef>
          </c:xVal>
          <c:yVal>
            <c:numRef>
              <c:f>'bilan (3)'!$G$10:$G$13</c:f>
              <c:numCache>
                <c:formatCode>0</c:formatCode>
                <c:ptCount val="4"/>
                <c:pt idx="0">
                  <c:v>9.6800000000000015</c:v>
                </c:pt>
                <c:pt idx="1">
                  <c:v>17.134</c:v>
                </c:pt>
                <c:pt idx="2">
                  <c:v>17.68</c:v>
                </c:pt>
                <c:pt idx="3">
                  <c:v>17.600000000000001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'bilan (3)'!$C$10:$C$13</c15:f>
                <c15:dlblRangeCache>
                  <c:ptCount val="4"/>
                  <c:pt idx="0">
                    <c:v>PL 10m</c:v>
                  </c:pt>
                  <c:pt idx="1">
                    <c:v>PL 11,5m</c:v>
                  </c:pt>
                  <c:pt idx="2">
                    <c:v>PL13</c:v>
                  </c:pt>
                  <c:pt idx="3">
                    <c:v>PL14,5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F8A-4252-87BC-04E0B884D1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2390792"/>
        <c:axId val="502391120"/>
      </c:scatterChart>
      <c:valAx>
        <c:axId val="502390792"/>
        <c:scaling>
          <c:orientation val="minMax"/>
          <c:max val="2.5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Distance</a:t>
                </a:r>
                <a:r>
                  <a:rPr lang="fr-FR" baseline="0"/>
                  <a:t> à la rupture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1120"/>
        <c:crosses val="autoZero"/>
        <c:crossBetween val="midCat"/>
      </c:valAx>
      <c:valAx>
        <c:axId val="502391120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Force à la rupture (N)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239079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72874</xdr:colOff>
      <xdr:row>4</xdr:row>
      <xdr:rowOff>25048</xdr:rowOff>
    </xdr:from>
    <xdr:to>
      <xdr:col>19</xdr:col>
      <xdr:colOff>390400</xdr:colOff>
      <xdr:row>22</xdr:row>
      <xdr:rowOff>212730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0932C56-FAEC-450F-8DD5-AB224AE24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8965</xdr:rowOff>
    </xdr:from>
    <xdr:to>
      <xdr:col>5</xdr:col>
      <xdr:colOff>814949</xdr:colOff>
      <xdr:row>60</xdr:row>
      <xdr:rowOff>11118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82E49E4-1C60-4637-9A55-4E45D312C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19</xdr:col>
      <xdr:colOff>317526</xdr:colOff>
      <xdr:row>42</xdr:row>
      <xdr:rowOff>2152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A32EA26-2819-4920-8FC9-0182472D9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0.49983</cdr:x>
      <cdr:y>0.57247</cdr:y>
    </cdr:from>
    <cdr:to>
      <cdr:x>0.86562</cdr:x>
      <cdr:y>0.63111</cdr:y>
    </cdr:to>
    <cdr:sp macro="" textlink="">
      <cdr:nvSpPr>
        <cdr:cNvPr id="4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935119" y="2003785"/>
          <a:ext cx="2147978" cy="2052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0.55104</cdr:x>
      <cdr:y>0.41209</cdr:y>
    </cdr:from>
    <cdr:to>
      <cdr:x>0.65824</cdr:x>
      <cdr:y>0.47818</cdr:y>
    </cdr:to>
    <cdr:sp macro="" textlink="">
      <cdr:nvSpPr>
        <cdr:cNvPr id="15" name="Ellipse 14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238277" y="1433873"/>
          <a:ext cx="629970" cy="22996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0.11679</cdr:x>
      <cdr:y>0.50421</cdr:y>
    </cdr:from>
    <cdr:to>
      <cdr:x>0.19225</cdr:x>
      <cdr:y>0.64318</cdr:y>
    </cdr:to>
    <cdr:sp macro="" textlink="">
      <cdr:nvSpPr>
        <cdr:cNvPr id="5" name="Ellipse 1">
          <a:extLst xmlns:a="http://schemas.openxmlformats.org/drawingml/2006/main">
            <a:ext uri="{FF2B5EF4-FFF2-40B4-BE49-F238E27FC236}">
              <a16:creationId xmlns:a16="http://schemas.microsoft.com/office/drawing/2014/main" id="{7A2C4CE8-BA8F-418A-8A6B-34C23A5AEE9B}"/>
            </a:ext>
          </a:extLst>
        </cdr:cNvPr>
        <cdr:cNvSpPr/>
      </cdr:nvSpPr>
      <cdr:spPr>
        <a:xfrm xmlns:a="http://schemas.openxmlformats.org/drawingml/2006/main">
          <a:off x="686334" y="1754426"/>
          <a:ext cx="443465" cy="4835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0.26818</cdr:x>
      <cdr:y>0.59915</cdr:y>
    </cdr:from>
    <cdr:to>
      <cdr:x>0.47007</cdr:x>
      <cdr:y>0.65338</cdr:y>
    </cdr:to>
    <cdr:sp macro="" textlink="">
      <cdr:nvSpPr>
        <cdr:cNvPr id="6" name="Ellipse 2">
          <a:extLst xmlns:a="http://schemas.openxmlformats.org/drawingml/2006/main">
            <a:ext uri="{FF2B5EF4-FFF2-40B4-BE49-F238E27FC236}">
              <a16:creationId xmlns:a16="http://schemas.microsoft.com/office/drawing/2014/main" id="{CEE52481-FDF8-448A-A5A1-0E40C650E450}"/>
            </a:ext>
          </a:extLst>
        </cdr:cNvPr>
        <cdr:cNvSpPr/>
      </cdr:nvSpPr>
      <cdr:spPr>
        <a:xfrm xmlns:a="http://schemas.openxmlformats.org/drawingml/2006/main">
          <a:off x="1575990" y="2084759"/>
          <a:ext cx="1186435" cy="18869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0.39618</cdr:x>
      <cdr:y>0.58233</cdr:y>
    </cdr:from>
    <cdr:to>
      <cdr:x>0.64576</cdr:x>
      <cdr:y>0.61519</cdr:y>
    </cdr:to>
    <cdr:sp macro="" textlink="">
      <cdr:nvSpPr>
        <cdr:cNvPr id="7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326472" y="2038290"/>
          <a:ext cx="1465538" cy="11502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0.47666</cdr:x>
      <cdr:y>0.12668</cdr:y>
    </cdr:from>
    <cdr:to>
      <cdr:x>0.63811</cdr:x>
      <cdr:y>0.36703</cdr:y>
    </cdr:to>
    <cdr:sp macro="" textlink="">
      <cdr:nvSpPr>
        <cdr:cNvPr id="22" name="Ellipse 13">
          <a:extLst xmlns:a="http://schemas.openxmlformats.org/drawingml/2006/main">
            <a:ext uri="{FF2B5EF4-FFF2-40B4-BE49-F238E27FC236}">
              <a16:creationId xmlns:a16="http://schemas.microsoft.com/office/drawing/2014/main" id="{75AAA2A7-D934-44BB-A523-E72DA5850B3B}"/>
            </a:ext>
          </a:extLst>
        </cdr:cNvPr>
        <cdr:cNvSpPr/>
      </cdr:nvSpPr>
      <cdr:spPr>
        <a:xfrm xmlns:a="http://schemas.openxmlformats.org/drawingml/2006/main">
          <a:off x="2801169" y="440770"/>
          <a:ext cx="948765" cy="8363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0.51827</cdr:x>
      <cdr:y>0.39506</cdr:y>
    </cdr:from>
    <cdr:to>
      <cdr:x>0.89019</cdr:x>
      <cdr:y>0.47688</cdr:y>
    </cdr:to>
    <cdr:sp macro="" textlink="">
      <cdr:nvSpPr>
        <cdr:cNvPr id="24" name="Ellipse 16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045660" y="1374619"/>
          <a:ext cx="2185651" cy="28468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0.26638</cdr:x>
      <cdr:y>0.28541</cdr:y>
    </cdr:from>
    <cdr:to>
      <cdr:x>0.61995</cdr:x>
      <cdr:y>0.65643</cdr:y>
    </cdr:to>
    <cdr:sp macro="" textlink="">
      <cdr:nvSpPr>
        <cdr:cNvPr id="25" name="Ellipse 17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1565440" y="993096"/>
          <a:ext cx="2077786" cy="129096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0.63135</cdr:x>
      <cdr:y>0.06141</cdr:y>
    </cdr:from>
    <cdr:to>
      <cdr:x>0.92147</cdr:x>
      <cdr:y>0.35075</cdr:y>
    </cdr:to>
    <cdr:sp macro="" textlink="">
      <cdr:nvSpPr>
        <cdr:cNvPr id="26" name="Ellipse 18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710203" y="213681"/>
          <a:ext cx="1704901" cy="10067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0.4429</cdr:x>
      <cdr:y>0.42056</cdr:y>
    </cdr:from>
    <cdr:to>
      <cdr:x>0.57698</cdr:x>
      <cdr:y>0.51498</cdr:y>
    </cdr:to>
    <cdr:sp macro="" textlink="">
      <cdr:nvSpPr>
        <cdr:cNvPr id="28" name="Ellipse 27">
          <a:extLst xmlns:a="http://schemas.openxmlformats.org/drawingml/2006/main">
            <a:ext uri="{FF2B5EF4-FFF2-40B4-BE49-F238E27FC236}">
              <a16:creationId xmlns:a16="http://schemas.microsoft.com/office/drawing/2014/main" id="{7A152871-1D72-4D47-AB66-2AB767E16A4C}"/>
            </a:ext>
          </a:extLst>
        </cdr:cNvPr>
        <cdr:cNvSpPr/>
      </cdr:nvSpPr>
      <cdr:spPr>
        <a:xfrm xmlns:a="http://schemas.openxmlformats.org/drawingml/2006/main">
          <a:off x="2602736" y="1463360"/>
          <a:ext cx="787941" cy="32853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0.44053</cdr:x>
      <cdr:y>0.53501</cdr:y>
    </cdr:from>
    <cdr:to>
      <cdr:x>0.58717</cdr:x>
      <cdr:y>0.58158</cdr:y>
    </cdr:to>
    <cdr:sp macro="" textlink="">
      <cdr:nvSpPr>
        <cdr:cNvPr id="29" name="Ellipse 28">
          <a:extLst xmlns:a="http://schemas.openxmlformats.org/drawingml/2006/main">
            <a:ext uri="{FF2B5EF4-FFF2-40B4-BE49-F238E27FC236}">
              <a16:creationId xmlns:a16="http://schemas.microsoft.com/office/drawing/2014/main" id="{EAAA4C38-B8FA-4F1A-A938-C53C1460B3C0}"/>
            </a:ext>
          </a:extLst>
        </cdr:cNvPr>
        <cdr:cNvSpPr/>
      </cdr:nvSpPr>
      <cdr:spPr>
        <a:xfrm xmlns:a="http://schemas.openxmlformats.org/drawingml/2006/main">
          <a:off x="2588821" y="1861581"/>
          <a:ext cx="861770" cy="16202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0.48563</cdr:x>
      <cdr:y>0.58315</cdr:y>
    </cdr:from>
    <cdr:to>
      <cdr:x>0.58259</cdr:x>
      <cdr:y>0.61085</cdr:y>
    </cdr:to>
    <cdr:sp macro="" textlink="">
      <cdr:nvSpPr>
        <cdr:cNvPr id="30" name="Ellipse 29">
          <a:extLst xmlns:a="http://schemas.openxmlformats.org/drawingml/2006/main">
            <a:ext uri="{FF2B5EF4-FFF2-40B4-BE49-F238E27FC236}">
              <a16:creationId xmlns:a16="http://schemas.microsoft.com/office/drawing/2014/main" id="{C3A132E9-1657-45C8-8644-D9CE9F127FDF}"/>
            </a:ext>
          </a:extLst>
        </cdr:cNvPr>
        <cdr:cNvSpPr/>
      </cdr:nvSpPr>
      <cdr:spPr>
        <a:xfrm xmlns:a="http://schemas.openxmlformats.org/drawingml/2006/main">
          <a:off x="2851731" y="2041166"/>
          <a:ext cx="569344" cy="9695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0.57438</cdr:x>
      <cdr:y>0.65207</cdr:y>
    </cdr:from>
    <cdr:to>
      <cdr:x>0.67849</cdr:x>
      <cdr:y>0.68336</cdr:y>
    </cdr:to>
    <cdr:sp macro="" textlink="">
      <cdr:nvSpPr>
        <cdr:cNvPr id="31" name="Ellipse 30">
          <a:extLst xmlns:a="http://schemas.openxmlformats.org/drawingml/2006/main">
            <a:ext uri="{FF2B5EF4-FFF2-40B4-BE49-F238E27FC236}">
              <a16:creationId xmlns:a16="http://schemas.microsoft.com/office/drawing/2014/main" id="{84021746-A7B6-4070-B800-DB1A024200DF}"/>
            </a:ext>
          </a:extLst>
        </cdr:cNvPr>
        <cdr:cNvSpPr/>
      </cdr:nvSpPr>
      <cdr:spPr>
        <a:xfrm xmlns:a="http://schemas.openxmlformats.org/drawingml/2006/main">
          <a:off x="3375404" y="2268902"/>
          <a:ext cx="611810" cy="1088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0.49983</cdr:x>
      <cdr:y>0.57247</cdr:y>
    </cdr:from>
    <cdr:to>
      <cdr:x>0.86562</cdr:x>
      <cdr:y>0.63111</cdr:y>
    </cdr:to>
    <cdr:sp macro="" textlink="">
      <cdr:nvSpPr>
        <cdr:cNvPr id="4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935119" y="2003785"/>
          <a:ext cx="2147978" cy="2052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0.55104</cdr:x>
      <cdr:y>0.41209</cdr:y>
    </cdr:from>
    <cdr:to>
      <cdr:x>0.65824</cdr:x>
      <cdr:y>0.47818</cdr:y>
    </cdr:to>
    <cdr:sp macro="" textlink="">
      <cdr:nvSpPr>
        <cdr:cNvPr id="15" name="Ellipse 14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238277" y="1433873"/>
          <a:ext cx="629970" cy="22996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0.11679</cdr:x>
      <cdr:y>0.50421</cdr:y>
    </cdr:from>
    <cdr:to>
      <cdr:x>0.19225</cdr:x>
      <cdr:y>0.64318</cdr:y>
    </cdr:to>
    <cdr:sp macro="" textlink="">
      <cdr:nvSpPr>
        <cdr:cNvPr id="5" name="Ellipse 1">
          <a:extLst xmlns:a="http://schemas.openxmlformats.org/drawingml/2006/main">
            <a:ext uri="{FF2B5EF4-FFF2-40B4-BE49-F238E27FC236}">
              <a16:creationId xmlns:a16="http://schemas.microsoft.com/office/drawing/2014/main" id="{7A2C4CE8-BA8F-418A-8A6B-34C23A5AEE9B}"/>
            </a:ext>
          </a:extLst>
        </cdr:cNvPr>
        <cdr:cNvSpPr/>
      </cdr:nvSpPr>
      <cdr:spPr>
        <a:xfrm xmlns:a="http://schemas.openxmlformats.org/drawingml/2006/main">
          <a:off x="686334" y="1754426"/>
          <a:ext cx="443465" cy="4835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0.26818</cdr:x>
      <cdr:y>0.59915</cdr:y>
    </cdr:from>
    <cdr:to>
      <cdr:x>0.47007</cdr:x>
      <cdr:y>0.65338</cdr:y>
    </cdr:to>
    <cdr:sp macro="" textlink="">
      <cdr:nvSpPr>
        <cdr:cNvPr id="6" name="Ellipse 2">
          <a:extLst xmlns:a="http://schemas.openxmlformats.org/drawingml/2006/main">
            <a:ext uri="{FF2B5EF4-FFF2-40B4-BE49-F238E27FC236}">
              <a16:creationId xmlns:a16="http://schemas.microsoft.com/office/drawing/2014/main" id="{CEE52481-FDF8-448A-A5A1-0E40C650E450}"/>
            </a:ext>
          </a:extLst>
        </cdr:cNvPr>
        <cdr:cNvSpPr/>
      </cdr:nvSpPr>
      <cdr:spPr>
        <a:xfrm xmlns:a="http://schemas.openxmlformats.org/drawingml/2006/main">
          <a:off x="1575990" y="2084759"/>
          <a:ext cx="1186435" cy="18869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0.39618</cdr:x>
      <cdr:y>0.58233</cdr:y>
    </cdr:from>
    <cdr:to>
      <cdr:x>0.64576</cdr:x>
      <cdr:y>0.61519</cdr:y>
    </cdr:to>
    <cdr:sp macro="" textlink="">
      <cdr:nvSpPr>
        <cdr:cNvPr id="7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326472" y="2038290"/>
          <a:ext cx="1465538" cy="11502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0.47666</cdr:x>
      <cdr:y>0.12668</cdr:y>
    </cdr:from>
    <cdr:to>
      <cdr:x>0.63811</cdr:x>
      <cdr:y>0.36703</cdr:y>
    </cdr:to>
    <cdr:sp macro="" textlink="">
      <cdr:nvSpPr>
        <cdr:cNvPr id="22" name="Ellipse 13">
          <a:extLst xmlns:a="http://schemas.openxmlformats.org/drawingml/2006/main">
            <a:ext uri="{FF2B5EF4-FFF2-40B4-BE49-F238E27FC236}">
              <a16:creationId xmlns:a16="http://schemas.microsoft.com/office/drawing/2014/main" id="{75AAA2A7-D934-44BB-A523-E72DA5850B3B}"/>
            </a:ext>
          </a:extLst>
        </cdr:cNvPr>
        <cdr:cNvSpPr/>
      </cdr:nvSpPr>
      <cdr:spPr>
        <a:xfrm xmlns:a="http://schemas.openxmlformats.org/drawingml/2006/main">
          <a:off x="2801169" y="440770"/>
          <a:ext cx="948765" cy="8363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0.51827</cdr:x>
      <cdr:y>0.39506</cdr:y>
    </cdr:from>
    <cdr:to>
      <cdr:x>0.89019</cdr:x>
      <cdr:y>0.47688</cdr:y>
    </cdr:to>
    <cdr:sp macro="" textlink="">
      <cdr:nvSpPr>
        <cdr:cNvPr id="24" name="Ellipse 16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045660" y="1374619"/>
          <a:ext cx="2185651" cy="28468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0.26638</cdr:x>
      <cdr:y>0.28541</cdr:y>
    </cdr:from>
    <cdr:to>
      <cdr:x>0.61995</cdr:x>
      <cdr:y>0.65643</cdr:y>
    </cdr:to>
    <cdr:sp macro="" textlink="">
      <cdr:nvSpPr>
        <cdr:cNvPr id="25" name="Ellipse 17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1565440" y="993096"/>
          <a:ext cx="2077786" cy="129096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0.63135</cdr:x>
      <cdr:y>0.06141</cdr:y>
    </cdr:from>
    <cdr:to>
      <cdr:x>0.92147</cdr:x>
      <cdr:y>0.35075</cdr:y>
    </cdr:to>
    <cdr:sp macro="" textlink="">
      <cdr:nvSpPr>
        <cdr:cNvPr id="26" name="Ellipse 18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710203" y="213681"/>
          <a:ext cx="1704901" cy="10067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0.4429</cdr:x>
      <cdr:y>0.42056</cdr:y>
    </cdr:from>
    <cdr:to>
      <cdr:x>0.57698</cdr:x>
      <cdr:y>0.51498</cdr:y>
    </cdr:to>
    <cdr:sp macro="" textlink="">
      <cdr:nvSpPr>
        <cdr:cNvPr id="28" name="Ellipse 27">
          <a:extLst xmlns:a="http://schemas.openxmlformats.org/drawingml/2006/main">
            <a:ext uri="{FF2B5EF4-FFF2-40B4-BE49-F238E27FC236}">
              <a16:creationId xmlns:a16="http://schemas.microsoft.com/office/drawing/2014/main" id="{7A152871-1D72-4D47-AB66-2AB767E16A4C}"/>
            </a:ext>
          </a:extLst>
        </cdr:cNvPr>
        <cdr:cNvSpPr/>
      </cdr:nvSpPr>
      <cdr:spPr>
        <a:xfrm xmlns:a="http://schemas.openxmlformats.org/drawingml/2006/main">
          <a:off x="2602736" y="1463360"/>
          <a:ext cx="787941" cy="32853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0.44053</cdr:x>
      <cdr:y>0.53501</cdr:y>
    </cdr:from>
    <cdr:to>
      <cdr:x>0.58717</cdr:x>
      <cdr:y>0.58158</cdr:y>
    </cdr:to>
    <cdr:sp macro="" textlink="">
      <cdr:nvSpPr>
        <cdr:cNvPr id="29" name="Ellipse 28">
          <a:extLst xmlns:a="http://schemas.openxmlformats.org/drawingml/2006/main">
            <a:ext uri="{FF2B5EF4-FFF2-40B4-BE49-F238E27FC236}">
              <a16:creationId xmlns:a16="http://schemas.microsoft.com/office/drawing/2014/main" id="{EAAA4C38-B8FA-4F1A-A938-C53C1460B3C0}"/>
            </a:ext>
          </a:extLst>
        </cdr:cNvPr>
        <cdr:cNvSpPr/>
      </cdr:nvSpPr>
      <cdr:spPr>
        <a:xfrm xmlns:a="http://schemas.openxmlformats.org/drawingml/2006/main">
          <a:off x="2588821" y="1861581"/>
          <a:ext cx="861770" cy="16202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0.48563</cdr:x>
      <cdr:y>0.58315</cdr:y>
    </cdr:from>
    <cdr:to>
      <cdr:x>0.58259</cdr:x>
      <cdr:y>0.61085</cdr:y>
    </cdr:to>
    <cdr:sp macro="" textlink="">
      <cdr:nvSpPr>
        <cdr:cNvPr id="30" name="Ellipse 29">
          <a:extLst xmlns:a="http://schemas.openxmlformats.org/drawingml/2006/main">
            <a:ext uri="{FF2B5EF4-FFF2-40B4-BE49-F238E27FC236}">
              <a16:creationId xmlns:a16="http://schemas.microsoft.com/office/drawing/2014/main" id="{C3A132E9-1657-45C8-8644-D9CE9F127FDF}"/>
            </a:ext>
          </a:extLst>
        </cdr:cNvPr>
        <cdr:cNvSpPr/>
      </cdr:nvSpPr>
      <cdr:spPr>
        <a:xfrm xmlns:a="http://schemas.openxmlformats.org/drawingml/2006/main">
          <a:off x="2851731" y="2041166"/>
          <a:ext cx="569344" cy="9695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0.57438</cdr:x>
      <cdr:y>0.65207</cdr:y>
    </cdr:from>
    <cdr:to>
      <cdr:x>0.67849</cdr:x>
      <cdr:y>0.68336</cdr:y>
    </cdr:to>
    <cdr:sp macro="" textlink="">
      <cdr:nvSpPr>
        <cdr:cNvPr id="31" name="Ellipse 30">
          <a:extLst xmlns:a="http://schemas.openxmlformats.org/drawingml/2006/main">
            <a:ext uri="{FF2B5EF4-FFF2-40B4-BE49-F238E27FC236}">
              <a16:creationId xmlns:a16="http://schemas.microsoft.com/office/drawing/2014/main" id="{84021746-A7B6-4070-B800-DB1A024200DF}"/>
            </a:ext>
          </a:extLst>
        </cdr:cNvPr>
        <cdr:cNvSpPr/>
      </cdr:nvSpPr>
      <cdr:spPr>
        <a:xfrm xmlns:a="http://schemas.openxmlformats.org/drawingml/2006/main">
          <a:off x="3375404" y="2268902"/>
          <a:ext cx="611810" cy="1088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304195</xdr:colOff>
      <xdr:row>0</xdr:row>
      <xdr:rowOff>133905</xdr:rowOff>
    </xdr:from>
    <xdr:to>
      <xdr:col>22</xdr:col>
      <xdr:colOff>326572</xdr:colOff>
      <xdr:row>22</xdr:row>
      <xdr:rowOff>421821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7832E6-AC9B-4CF6-B04B-8A88375A2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8965</xdr:rowOff>
    </xdr:from>
    <xdr:to>
      <xdr:col>5</xdr:col>
      <xdr:colOff>814949</xdr:colOff>
      <xdr:row>60</xdr:row>
      <xdr:rowOff>11118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A442B89-E762-4240-A1CF-6529B63A8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19</xdr:col>
      <xdr:colOff>317526</xdr:colOff>
      <xdr:row>42</xdr:row>
      <xdr:rowOff>2152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79AE61F-EAE5-4D75-AAF7-6179AC0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0.49983</cdr:x>
      <cdr:y>0.57247</cdr:y>
    </cdr:from>
    <cdr:to>
      <cdr:x>0.86562</cdr:x>
      <cdr:y>0.63111</cdr:y>
    </cdr:to>
    <cdr:sp macro="" textlink="">
      <cdr:nvSpPr>
        <cdr:cNvPr id="4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935119" y="2003785"/>
          <a:ext cx="2147978" cy="2052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0.55104</cdr:x>
      <cdr:y>0.41209</cdr:y>
    </cdr:from>
    <cdr:to>
      <cdr:x>0.65824</cdr:x>
      <cdr:y>0.47818</cdr:y>
    </cdr:to>
    <cdr:sp macro="" textlink="">
      <cdr:nvSpPr>
        <cdr:cNvPr id="15" name="Ellipse 14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238277" y="1433873"/>
          <a:ext cx="629970" cy="22996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0.11679</cdr:x>
      <cdr:y>0.50421</cdr:y>
    </cdr:from>
    <cdr:to>
      <cdr:x>0.19225</cdr:x>
      <cdr:y>0.64318</cdr:y>
    </cdr:to>
    <cdr:sp macro="" textlink="">
      <cdr:nvSpPr>
        <cdr:cNvPr id="5" name="Ellipse 1">
          <a:extLst xmlns:a="http://schemas.openxmlformats.org/drawingml/2006/main">
            <a:ext uri="{FF2B5EF4-FFF2-40B4-BE49-F238E27FC236}">
              <a16:creationId xmlns:a16="http://schemas.microsoft.com/office/drawing/2014/main" id="{7A2C4CE8-BA8F-418A-8A6B-34C23A5AEE9B}"/>
            </a:ext>
          </a:extLst>
        </cdr:cNvPr>
        <cdr:cNvSpPr/>
      </cdr:nvSpPr>
      <cdr:spPr>
        <a:xfrm xmlns:a="http://schemas.openxmlformats.org/drawingml/2006/main">
          <a:off x="686334" y="1754426"/>
          <a:ext cx="443465" cy="4835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0.26818</cdr:x>
      <cdr:y>0.59915</cdr:y>
    </cdr:from>
    <cdr:to>
      <cdr:x>0.47007</cdr:x>
      <cdr:y>0.65338</cdr:y>
    </cdr:to>
    <cdr:sp macro="" textlink="">
      <cdr:nvSpPr>
        <cdr:cNvPr id="6" name="Ellipse 2">
          <a:extLst xmlns:a="http://schemas.openxmlformats.org/drawingml/2006/main">
            <a:ext uri="{FF2B5EF4-FFF2-40B4-BE49-F238E27FC236}">
              <a16:creationId xmlns:a16="http://schemas.microsoft.com/office/drawing/2014/main" id="{CEE52481-FDF8-448A-A5A1-0E40C650E450}"/>
            </a:ext>
          </a:extLst>
        </cdr:cNvPr>
        <cdr:cNvSpPr/>
      </cdr:nvSpPr>
      <cdr:spPr>
        <a:xfrm xmlns:a="http://schemas.openxmlformats.org/drawingml/2006/main">
          <a:off x="1575990" y="2084759"/>
          <a:ext cx="1186435" cy="18869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0.39618</cdr:x>
      <cdr:y>0.58233</cdr:y>
    </cdr:from>
    <cdr:to>
      <cdr:x>0.64576</cdr:x>
      <cdr:y>0.61519</cdr:y>
    </cdr:to>
    <cdr:sp macro="" textlink="">
      <cdr:nvSpPr>
        <cdr:cNvPr id="7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326472" y="2038290"/>
          <a:ext cx="1465538" cy="11502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0.47666</cdr:x>
      <cdr:y>0.12668</cdr:y>
    </cdr:from>
    <cdr:to>
      <cdr:x>0.63811</cdr:x>
      <cdr:y>0.36703</cdr:y>
    </cdr:to>
    <cdr:sp macro="" textlink="">
      <cdr:nvSpPr>
        <cdr:cNvPr id="22" name="Ellipse 13">
          <a:extLst xmlns:a="http://schemas.openxmlformats.org/drawingml/2006/main">
            <a:ext uri="{FF2B5EF4-FFF2-40B4-BE49-F238E27FC236}">
              <a16:creationId xmlns:a16="http://schemas.microsoft.com/office/drawing/2014/main" id="{75AAA2A7-D934-44BB-A523-E72DA5850B3B}"/>
            </a:ext>
          </a:extLst>
        </cdr:cNvPr>
        <cdr:cNvSpPr/>
      </cdr:nvSpPr>
      <cdr:spPr>
        <a:xfrm xmlns:a="http://schemas.openxmlformats.org/drawingml/2006/main">
          <a:off x="2801169" y="440770"/>
          <a:ext cx="948765" cy="8363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0.51827</cdr:x>
      <cdr:y>0.39506</cdr:y>
    </cdr:from>
    <cdr:to>
      <cdr:x>0.89019</cdr:x>
      <cdr:y>0.47688</cdr:y>
    </cdr:to>
    <cdr:sp macro="" textlink="">
      <cdr:nvSpPr>
        <cdr:cNvPr id="24" name="Ellipse 16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045660" y="1374619"/>
          <a:ext cx="2185651" cy="28468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0.26638</cdr:x>
      <cdr:y>0.28541</cdr:y>
    </cdr:from>
    <cdr:to>
      <cdr:x>0.61995</cdr:x>
      <cdr:y>0.65643</cdr:y>
    </cdr:to>
    <cdr:sp macro="" textlink="">
      <cdr:nvSpPr>
        <cdr:cNvPr id="25" name="Ellipse 17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1565440" y="993096"/>
          <a:ext cx="2077786" cy="129096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0.63135</cdr:x>
      <cdr:y>0.06141</cdr:y>
    </cdr:from>
    <cdr:to>
      <cdr:x>0.92147</cdr:x>
      <cdr:y>0.35075</cdr:y>
    </cdr:to>
    <cdr:sp macro="" textlink="">
      <cdr:nvSpPr>
        <cdr:cNvPr id="26" name="Ellipse 18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710203" y="213681"/>
          <a:ext cx="1704901" cy="10067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0.4429</cdr:x>
      <cdr:y>0.42056</cdr:y>
    </cdr:from>
    <cdr:to>
      <cdr:x>0.57698</cdr:x>
      <cdr:y>0.51498</cdr:y>
    </cdr:to>
    <cdr:sp macro="" textlink="">
      <cdr:nvSpPr>
        <cdr:cNvPr id="28" name="Ellipse 27">
          <a:extLst xmlns:a="http://schemas.openxmlformats.org/drawingml/2006/main">
            <a:ext uri="{FF2B5EF4-FFF2-40B4-BE49-F238E27FC236}">
              <a16:creationId xmlns:a16="http://schemas.microsoft.com/office/drawing/2014/main" id="{7A152871-1D72-4D47-AB66-2AB767E16A4C}"/>
            </a:ext>
          </a:extLst>
        </cdr:cNvPr>
        <cdr:cNvSpPr/>
      </cdr:nvSpPr>
      <cdr:spPr>
        <a:xfrm xmlns:a="http://schemas.openxmlformats.org/drawingml/2006/main">
          <a:off x="2602736" y="1463360"/>
          <a:ext cx="787941" cy="32853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0.44053</cdr:x>
      <cdr:y>0.53501</cdr:y>
    </cdr:from>
    <cdr:to>
      <cdr:x>0.58717</cdr:x>
      <cdr:y>0.58158</cdr:y>
    </cdr:to>
    <cdr:sp macro="" textlink="">
      <cdr:nvSpPr>
        <cdr:cNvPr id="29" name="Ellipse 28">
          <a:extLst xmlns:a="http://schemas.openxmlformats.org/drawingml/2006/main">
            <a:ext uri="{FF2B5EF4-FFF2-40B4-BE49-F238E27FC236}">
              <a16:creationId xmlns:a16="http://schemas.microsoft.com/office/drawing/2014/main" id="{EAAA4C38-B8FA-4F1A-A938-C53C1460B3C0}"/>
            </a:ext>
          </a:extLst>
        </cdr:cNvPr>
        <cdr:cNvSpPr/>
      </cdr:nvSpPr>
      <cdr:spPr>
        <a:xfrm xmlns:a="http://schemas.openxmlformats.org/drawingml/2006/main">
          <a:off x="2588821" y="1861581"/>
          <a:ext cx="861770" cy="16202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0.48563</cdr:x>
      <cdr:y>0.58315</cdr:y>
    </cdr:from>
    <cdr:to>
      <cdr:x>0.58259</cdr:x>
      <cdr:y>0.61085</cdr:y>
    </cdr:to>
    <cdr:sp macro="" textlink="">
      <cdr:nvSpPr>
        <cdr:cNvPr id="30" name="Ellipse 29">
          <a:extLst xmlns:a="http://schemas.openxmlformats.org/drawingml/2006/main">
            <a:ext uri="{FF2B5EF4-FFF2-40B4-BE49-F238E27FC236}">
              <a16:creationId xmlns:a16="http://schemas.microsoft.com/office/drawing/2014/main" id="{C3A132E9-1657-45C8-8644-D9CE9F127FDF}"/>
            </a:ext>
          </a:extLst>
        </cdr:cNvPr>
        <cdr:cNvSpPr/>
      </cdr:nvSpPr>
      <cdr:spPr>
        <a:xfrm xmlns:a="http://schemas.openxmlformats.org/drawingml/2006/main">
          <a:off x="2851731" y="2041166"/>
          <a:ext cx="569344" cy="9695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0.57438</cdr:x>
      <cdr:y>0.65207</cdr:y>
    </cdr:from>
    <cdr:to>
      <cdr:x>0.67849</cdr:x>
      <cdr:y>0.68336</cdr:y>
    </cdr:to>
    <cdr:sp macro="" textlink="">
      <cdr:nvSpPr>
        <cdr:cNvPr id="31" name="Ellipse 30">
          <a:extLst xmlns:a="http://schemas.openxmlformats.org/drawingml/2006/main">
            <a:ext uri="{FF2B5EF4-FFF2-40B4-BE49-F238E27FC236}">
              <a16:creationId xmlns:a16="http://schemas.microsoft.com/office/drawing/2014/main" id="{84021746-A7B6-4070-B800-DB1A024200DF}"/>
            </a:ext>
          </a:extLst>
        </cdr:cNvPr>
        <cdr:cNvSpPr/>
      </cdr:nvSpPr>
      <cdr:spPr>
        <a:xfrm xmlns:a="http://schemas.openxmlformats.org/drawingml/2006/main">
          <a:off x="3375404" y="2268902"/>
          <a:ext cx="611810" cy="1088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0.49983</cdr:x>
      <cdr:y>0.57247</cdr:y>
    </cdr:from>
    <cdr:to>
      <cdr:x>0.86562</cdr:x>
      <cdr:y>0.63111</cdr:y>
    </cdr:to>
    <cdr:sp macro="" textlink="">
      <cdr:nvSpPr>
        <cdr:cNvPr id="4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935119" y="2003785"/>
          <a:ext cx="2147978" cy="20525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0.55104</cdr:x>
      <cdr:y>0.41209</cdr:y>
    </cdr:from>
    <cdr:to>
      <cdr:x>0.65824</cdr:x>
      <cdr:y>0.47818</cdr:y>
    </cdr:to>
    <cdr:sp macro="" textlink="">
      <cdr:nvSpPr>
        <cdr:cNvPr id="15" name="Ellipse 14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238277" y="1433873"/>
          <a:ext cx="629970" cy="22996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0.11679</cdr:x>
      <cdr:y>0.50421</cdr:y>
    </cdr:from>
    <cdr:to>
      <cdr:x>0.19225</cdr:x>
      <cdr:y>0.64318</cdr:y>
    </cdr:to>
    <cdr:sp macro="" textlink="">
      <cdr:nvSpPr>
        <cdr:cNvPr id="5" name="Ellipse 1">
          <a:extLst xmlns:a="http://schemas.openxmlformats.org/drawingml/2006/main">
            <a:ext uri="{FF2B5EF4-FFF2-40B4-BE49-F238E27FC236}">
              <a16:creationId xmlns:a16="http://schemas.microsoft.com/office/drawing/2014/main" id="{7A2C4CE8-BA8F-418A-8A6B-34C23A5AEE9B}"/>
            </a:ext>
          </a:extLst>
        </cdr:cNvPr>
        <cdr:cNvSpPr/>
      </cdr:nvSpPr>
      <cdr:spPr>
        <a:xfrm xmlns:a="http://schemas.openxmlformats.org/drawingml/2006/main">
          <a:off x="686334" y="1754426"/>
          <a:ext cx="443465" cy="4835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0.26818</cdr:x>
      <cdr:y>0.59915</cdr:y>
    </cdr:from>
    <cdr:to>
      <cdr:x>0.47007</cdr:x>
      <cdr:y>0.65338</cdr:y>
    </cdr:to>
    <cdr:sp macro="" textlink="">
      <cdr:nvSpPr>
        <cdr:cNvPr id="6" name="Ellipse 2">
          <a:extLst xmlns:a="http://schemas.openxmlformats.org/drawingml/2006/main">
            <a:ext uri="{FF2B5EF4-FFF2-40B4-BE49-F238E27FC236}">
              <a16:creationId xmlns:a16="http://schemas.microsoft.com/office/drawing/2014/main" id="{CEE52481-FDF8-448A-A5A1-0E40C650E450}"/>
            </a:ext>
          </a:extLst>
        </cdr:cNvPr>
        <cdr:cNvSpPr/>
      </cdr:nvSpPr>
      <cdr:spPr>
        <a:xfrm xmlns:a="http://schemas.openxmlformats.org/drawingml/2006/main">
          <a:off x="1575990" y="2084759"/>
          <a:ext cx="1186435" cy="18869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0.39618</cdr:x>
      <cdr:y>0.58233</cdr:y>
    </cdr:from>
    <cdr:to>
      <cdr:x>0.64576</cdr:x>
      <cdr:y>0.61519</cdr:y>
    </cdr:to>
    <cdr:sp macro="" textlink="">
      <cdr:nvSpPr>
        <cdr:cNvPr id="7" name="Ellipse 3">
          <a:extLst xmlns:a="http://schemas.openxmlformats.org/drawingml/2006/main">
            <a:ext uri="{FF2B5EF4-FFF2-40B4-BE49-F238E27FC236}">
              <a16:creationId xmlns:a16="http://schemas.microsoft.com/office/drawing/2014/main" id="{250D4138-1E14-4197-85FE-3AF7E0F063AA}"/>
            </a:ext>
          </a:extLst>
        </cdr:cNvPr>
        <cdr:cNvSpPr/>
      </cdr:nvSpPr>
      <cdr:spPr>
        <a:xfrm xmlns:a="http://schemas.openxmlformats.org/drawingml/2006/main">
          <a:off x="2326472" y="2038290"/>
          <a:ext cx="1465538" cy="11502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0.47666</cdr:x>
      <cdr:y>0.12668</cdr:y>
    </cdr:from>
    <cdr:to>
      <cdr:x>0.63811</cdr:x>
      <cdr:y>0.36703</cdr:y>
    </cdr:to>
    <cdr:sp macro="" textlink="">
      <cdr:nvSpPr>
        <cdr:cNvPr id="22" name="Ellipse 13">
          <a:extLst xmlns:a="http://schemas.openxmlformats.org/drawingml/2006/main">
            <a:ext uri="{FF2B5EF4-FFF2-40B4-BE49-F238E27FC236}">
              <a16:creationId xmlns:a16="http://schemas.microsoft.com/office/drawing/2014/main" id="{75AAA2A7-D934-44BB-A523-E72DA5850B3B}"/>
            </a:ext>
          </a:extLst>
        </cdr:cNvPr>
        <cdr:cNvSpPr/>
      </cdr:nvSpPr>
      <cdr:spPr>
        <a:xfrm xmlns:a="http://schemas.openxmlformats.org/drawingml/2006/main">
          <a:off x="2801169" y="440770"/>
          <a:ext cx="948765" cy="83630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0.51827</cdr:x>
      <cdr:y>0.39506</cdr:y>
    </cdr:from>
    <cdr:to>
      <cdr:x>0.89019</cdr:x>
      <cdr:y>0.47688</cdr:y>
    </cdr:to>
    <cdr:sp macro="" textlink="">
      <cdr:nvSpPr>
        <cdr:cNvPr id="24" name="Ellipse 16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045660" y="1374619"/>
          <a:ext cx="2185651" cy="284684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0.26638</cdr:x>
      <cdr:y>0.28541</cdr:y>
    </cdr:from>
    <cdr:to>
      <cdr:x>0.61995</cdr:x>
      <cdr:y>0.65643</cdr:y>
    </cdr:to>
    <cdr:sp macro="" textlink="">
      <cdr:nvSpPr>
        <cdr:cNvPr id="25" name="Ellipse 17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1565440" y="993096"/>
          <a:ext cx="2077786" cy="129096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0.63135</cdr:x>
      <cdr:y>0.06141</cdr:y>
    </cdr:from>
    <cdr:to>
      <cdr:x>0.92147</cdr:x>
      <cdr:y>0.35075</cdr:y>
    </cdr:to>
    <cdr:sp macro="" textlink="">
      <cdr:nvSpPr>
        <cdr:cNvPr id="26" name="Ellipse 18">
          <a:extLst xmlns:a="http://schemas.openxmlformats.org/drawingml/2006/main">
            <a:ext uri="{FF2B5EF4-FFF2-40B4-BE49-F238E27FC236}">
              <a16:creationId xmlns:a16="http://schemas.microsoft.com/office/drawing/2014/main" id="{269C882C-D22C-4BD6-9664-5D682D180C64}"/>
            </a:ext>
          </a:extLst>
        </cdr:cNvPr>
        <cdr:cNvSpPr/>
      </cdr:nvSpPr>
      <cdr:spPr>
        <a:xfrm xmlns:a="http://schemas.openxmlformats.org/drawingml/2006/main">
          <a:off x="3710203" y="213681"/>
          <a:ext cx="1704901" cy="10067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00FF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0.4429</cdr:x>
      <cdr:y>0.42056</cdr:y>
    </cdr:from>
    <cdr:to>
      <cdr:x>0.57698</cdr:x>
      <cdr:y>0.51498</cdr:y>
    </cdr:to>
    <cdr:sp macro="" textlink="">
      <cdr:nvSpPr>
        <cdr:cNvPr id="28" name="Ellipse 27">
          <a:extLst xmlns:a="http://schemas.openxmlformats.org/drawingml/2006/main">
            <a:ext uri="{FF2B5EF4-FFF2-40B4-BE49-F238E27FC236}">
              <a16:creationId xmlns:a16="http://schemas.microsoft.com/office/drawing/2014/main" id="{7A152871-1D72-4D47-AB66-2AB767E16A4C}"/>
            </a:ext>
          </a:extLst>
        </cdr:cNvPr>
        <cdr:cNvSpPr/>
      </cdr:nvSpPr>
      <cdr:spPr>
        <a:xfrm xmlns:a="http://schemas.openxmlformats.org/drawingml/2006/main">
          <a:off x="2602736" y="1463360"/>
          <a:ext cx="787941" cy="32853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0.44053</cdr:x>
      <cdr:y>0.53501</cdr:y>
    </cdr:from>
    <cdr:to>
      <cdr:x>0.58717</cdr:x>
      <cdr:y>0.58158</cdr:y>
    </cdr:to>
    <cdr:sp macro="" textlink="">
      <cdr:nvSpPr>
        <cdr:cNvPr id="29" name="Ellipse 28">
          <a:extLst xmlns:a="http://schemas.openxmlformats.org/drawingml/2006/main">
            <a:ext uri="{FF2B5EF4-FFF2-40B4-BE49-F238E27FC236}">
              <a16:creationId xmlns:a16="http://schemas.microsoft.com/office/drawing/2014/main" id="{EAAA4C38-B8FA-4F1A-A938-C53C1460B3C0}"/>
            </a:ext>
          </a:extLst>
        </cdr:cNvPr>
        <cdr:cNvSpPr/>
      </cdr:nvSpPr>
      <cdr:spPr>
        <a:xfrm xmlns:a="http://schemas.openxmlformats.org/drawingml/2006/main">
          <a:off x="2588821" y="1861581"/>
          <a:ext cx="861770" cy="16202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0.48563</cdr:x>
      <cdr:y>0.58315</cdr:y>
    </cdr:from>
    <cdr:to>
      <cdr:x>0.58259</cdr:x>
      <cdr:y>0.61085</cdr:y>
    </cdr:to>
    <cdr:sp macro="" textlink="">
      <cdr:nvSpPr>
        <cdr:cNvPr id="30" name="Ellipse 29">
          <a:extLst xmlns:a="http://schemas.openxmlformats.org/drawingml/2006/main">
            <a:ext uri="{FF2B5EF4-FFF2-40B4-BE49-F238E27FC236}">
              <a16:creationId xmlns:a16="http://schemas.microsoft.com/office/drawing/2014/main" id="{C3A132E9-1657-45C8-8644-D9CE9F127FDF}"/>
            </a:ext>
          </a:extLst>
        </cdr:cNvPr>
        <cdr:cNvSpPr/>
      </cdr:nvSpPr>
      <cdr:spPr>
        <a:xfrm xmlns:a="http://schemas.openxmlformats.org/drawingml/2006/main">
          <a:off x="2851731" y="2041166"/>
          <a:ext cx="569344" cy="96952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0.57438</cdr:x>
      <cdr:y>0.65207</cdr:y>
    </cdr:from>
    <cdr:to>
      <cdr:x>0.67849</cdr:x>
      <cdr:y>0.68336</cdr:y>
    </cdr:to>
    <cdr:sp macro="" textlink="">
      <cdr:nvSpPr>
        <cdr:cNvPr id="31" name="Ellipse 30">
          <a:extLst xmlns:a="http://schemas.openxmlformats.org/drawingml/2006/main">
            <a:ext uri="{FF2B5EF4-FFF2-40B4-BE49-F238E27FC236}">
              <a16:creationId xmlns:a16="http://schemas.microsoft.com/office/drawing/2014/main" id="{84021746-A7B6-4070-B800-DB1A024200DF}"/>
            </a:ext>
          </a:extLst>
        </cdr:cNvPr>
        <cdr:cNvSpPr/>
      </cdr:nvSpPr>
      <cdr:spPr>
        <a:xfrm xmlns:a="http://schemas.openxmlformats.org/drawingml/2006/main">
          <a:off x="3375404" y="2268902"/>
          <a:ext cx="611810" cy="10885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FC49-4F3D-428F-B66D-0D1596EC1F94}">
  <dimension ref="A1:K194"/>
  <sheetViews>
    <sheetView tabSelected="1" zoomScale="85" zoomScaleNormal="85" workbookViewId="0">
      <selection activeCell="M177" sqref="M177"/>
    </sheetView>
  </sheetViews>
  <sheetFormatPr baseColWidth="10" defaultRowHeight="15" x14ac:dyDescent="0.25"/>
  <cols>
    <col min="1" max="1" width="24.42578125" customWidth="1"/>
    <col min="2" max="2" width="17.7109375" customWidth="1"/>
    <col min="3" max="4" width="12.7109375" customWidth="1"/>
    <col min="6" max="11" width="13.7109375" customWidth="1"/>
  </cols>
  <sheetData>
    <row r="1" spans="1:11" ht="15.75" thickBot="1" x14ac:dyDescent="0.3">
      <c r="A1" s="19" t="s">
        <v>29</v>
      </c>
    </row>
    <row r="2" spans="1:11" x14ac:dyDescent="0.25">
      <c r="A2" s="52" t="s">
        <v>30</v>
      </c>
      <c r="B2" s="54" t="s">
        <v>9</v>
      </c>
      <c r="C2" s="52" t="s">
        <v>8</v>
      </c>
      <c r="D2" s="56"/>
      <c r="E2" s="57"/>
      <c r="F2" s="52" t="s">
        <v>0</v>
      </c>
      <c r="G2" s="56"/>
      <c r="H2" s="56"/>
      <c r="I2" s="56"/>
      <c r="J2" s="56"/>
      <c r="K2" s="57"/>
    </row>
    <row r="3" spans="1:11" x14ac:dyDescent="0.25">
      <c r="A3" s="53"/>
      <c r="B3" s="55"/>
      <c r="C3" s="53"/>
      <c r="D3" s="58"/>
      <c r="E3" s="59"/>
      <c r="F3" s="53" t="s">
        <v>15</v>
      </c>
      <c r="G3" s="58"/>
      <c r="H3" s="58"/>
      <c r="I3" s="58"/>
      <c r="J3" s="58"/>
      <c r="K3" s="20">
        <v>43.5</v>
      </c>
    </row>
    <row r="4" spans="1:11" x14ac:dyDescent="0.25">
      <c r="A4" s="53"/>
      <c r="B4" s="55"/>
      <c r="C4" s="60" t="s">
        <v>26</v>
      </c>
      <c r="D4" s="63" t="s">
        <v>6</v>
      </c>
      <c r="E4" s="66" t="s">
        <v>7</v>
      </c>
      <c r="F4" s="69" t="s">
        <v>27</v>
      </c>
      <c r="G4" s="70"/>
      <c r="H4" s="70"/>
      <c r="I4" s="70"/>
      <c r="J4" s="71"/>
      <c r="K4" s="21">
        <v>0.2</v>
      </c>
    </row>
    <row r="5" spans="1:11" ht="25.5" x14ac:dyDescent="0.25">
      <c r="A5" s="53"/>
      <c r="B5" s="55"/>
      <c r="C5" s="61"/>
      <c r="D5" s="64"/>
      <c r="E5" s="67"/>
      <c r="F5" s="17" t="s">
        <v>20</v>
      </c>
      <c r="G5" s="18" t="s">
        <v>19</v>
      </c>
      <c r="H5" s="18" t="s">
        <v>22</v>
      </c>
      <c r="I5" s="18" t="s">
        <v>21</v>
      </c>
      <c r="J5" s="18" t="s">
        <v>24</v>
      </c>
      <c r="K5" s="4" t="s">
        <v>13</v>
      </c>
    </row>
    <row r="6" spans="1:11" x14ac:dyDescent="0.25">
      <c r="A6" s="53"/>
      <c r="B6" s="55"/>
      <c r="C6" s="62"/>
      <c r="D6" s="65"/>
      <c r="E6" s="68"/>
      <c r="F6" s="1" t="s">
        <v>16</v>
      </c>
      <c r="G6" s="2" t="s">
        <v>17</v>
      </c>
      <c r="H6" s="2" t="s">
        <v>18</v>
      </c>
      <c r="I6" s="2" t="s">
        <v>23</v>
      </c>
      <c r="J6" s="2" t="s">
        <v>25</v>
      </c>
      <c r="K6" s="4" t="s">
        <v>28</v>
      </c>
    </row>
    <row r="7" spans="1:11" x14ac:dyDescent="0.25">
      <c r="A7" s="53"/>
      <c r="B7" s="3" t="s">
        <v>10</v>
      </c>
      <c r="C7" s="1" t="s">
        <v>1</v>
      </c>
      <c r="D7" s="2" t="s">
        <v>1</v>
      </c>
      <c r="E7" s="4" t="s">
        <v>1</v>
      </c>
      <c r="F7" s="1" t="s">
        <v>2</v>
      </c>
      <c r="G7" s="2" t="s">
        <v>11</v>
      </c>
      <c r="H7" s="2" t="s">
        <v>1</v>
      </c>
      <c r="I7" s="2" t="s">
        <v>12</v>
      </c>
      <c r="J7" s="2" t="s">
        <v>3</v>
      </c>
      <c r="K7" s="4" t="s">
        <v>14</v>
      </c>
    </row>
    <row r="8" spans="1:11" x14ac:dyDescent="0.25">
      <c r="A8" s="5">
        <v>1</v>
      </c>
      <c r="B8" s="6"/>
      <c r="C8" s="6">
        <v>80.3</v>
      </c>
      <c r="D8" s="6">
        <v>79.400000000000006</v>
      </c>
      <c r="E8" s="6">
        <v>11.5</v>
      </c>
      <c r="F8" s="6">
        <v>17.100000000000001</v>
      </c>
      <c r="G8" s="22">
        <f>(3*F8*$K$3/1000)/((2*(C8/1000)*((E8/1000)^2)))/1000</f>
        <v>105.0667746423502</v>
      </c>
      <c r="H8" s="6">
        <v>1.22</v>
      </c>
      <c r="I8" s="23">
        <f>(6*(E8/1000)*(H8/1000))/(($K$3/1000)^2)</f>
        <v>4.4486722156163297E-2</v>
      </c>
      <c r="J8" s="6">
        <v>5.7</v>
      </c>
      <c r="K8" s="22">
        <f>((($K$3/1000)^3)*(J8*1000))/(4*(C8/1000)*((E8/1000)^3))/1000000</f>
        <v>0.96044736385017904</v>
      </c>
    </row>
    <row r="9" spans="1:11" x14ac:dyDescent="0.25">
      <c r="A9" s="5">
        <v>2</v>
      </c>
      <c r="B9" s="6"/>
      <c r="C9" s="6">
        <v>77.47</v>
      </c>
      <c r="D9" s="6">
        <v>77.069999999999993</v>
      </c>
      <c r="E9" s="6">
        <v>12.53</v>
      </c>
      <c r="F9" s="6">
        <v>19.100000000000001</v>
      </c>
      <c r="G9" s="22">
        <f>(3*F9*$K$3/1000)/((2*(C9/1000)*((E9/1000)^2)))/1000</f>
        <v>102.46562308396034</v>
      </c>
      <c r="H9" s="6">
        <v>1.5</v>
      </c>
      <c r="I9" s="23">
        <f>(6*(E9/1000)*(H9/1000))/(($K$3/1000)^2)</f>
        <v>5.9595719381688471E-2</v>
      </c>
      <c r="J9" s="6">
        <v>4.8</v>
      </c>
      <c r="K9" s="22">
        <f>((($K$3/1000)^3)*(J9*1000))/(4*(C9/1000)*((E9/1000)^3))/1000000</f>
        <v>0.64813018483179274</v>
      </c>
    </row>
    <row r="10" spans="1:11" x14ac:dyDescent="0.25">
      <c r="A10" s="5">
        <v>3</v>
      </c>
      <c r="B10" s="6"/>
      <c r="C10" s="6">
        <v>79.55</v>
      </c>
      <c r="D10" s="6">
        <v>77.42</v>
      </c>
      <c r="E10" s="6">
        <v>11.34</v>
      </c>
      <c r="F10" s="6">
        <v>19.100000000000001</v>
      </c>
      <c r="G10" s="22">
        <f>(3*F10*$K$3/1000)/((2*(C10/1000)*((E10/1000)^2)))/1000</f>
        <v>121.82813339451708</v>
      </c>
      <c r="H10" s="6">
        <v>1.24</v>
      </c>
      <c r="I10" s="23">
        <f>(6*(E10/1000)*(H10/1000))/(($K$3/1000)^2)</f>
        <v>4.4586920332936979E-2</v>
      </c>
      <c r="J10" s="6">
        <v>4.3</v>
      </c>
      <c r="K10" s="22">
        <f>((($K$3/1000)^3)*(J10*1000))/(4*(C10/1000)*((E10/1000)^3))/1000000</f>
        <v>0.76277576732491204</v>
      </c>
    </row>
    <row r="11" spans="1:11" x14ac:dyDescent="0.25">
      <c r="A11" s="5">
        <v>4</v>
      </c>
      <c r="B11" s="6"/>
      <c r="C11" s="6">
        <v>75.92</v>
      </c>
      <c r="D11" s="6">
        <v>71.010000000000005</v>
      </c>
      <c r="E11" s="6">
        <v>12.13</v>
      </c>
      <c r="F11" s="6">
        <v>17.600000000000001</v>
      </c>
      <c r="G11" s="22">
        <f>(3*F11*$K$3/1000)/((2*(C11/1000)*((E11/1000)^2)))/1000</f>
        <v>102.80527110175748</v>
      </c>
      <c r="H11" s="6">
        <v>1.41</v>
      </c>
      <c r="I11" s="23">
        <f>(6*(E11/1000)*(H11/1000))/(($K$3/1000)^2)</f>
        <v>5.4231629013079673E-2</v>
      </c>
      <c r="J11" s="6">
        <v>3.8</v>
      </c>
      <c r="K11" s="22">
        <f>((($K$3/1000)^3)*(J11*1000))/(4*(C11/1000)*((E11/1000)^3))/1000000</f>
        <v>0.57710225876922205</v>
      </c>
    </row>
    <row r="12" spans="1:11" x14ac:dyDescent="0.25">
      <c r="A12" s="5">
        <v>5</v>
      </c>
      <c r="B12" s="6"/>
      <c r="C12" s="6">
        <v>76.150000000000006</v>
      </c>
      <c r="D12" s="6">
        <v>74.61</v>
      </c>
      <c r="E12" s="6">
        <v>12.67</v>
      </c>
      <c r="F12" s="6">
        <v>15.5</v>
      </c>
      <c r="G12" s="22">
        <f>(3*F12*$K$3/1000)/((2*(C12/1000)*((E12/1000)^2)))/1000</f>
        <v>82.734962947888675</v>
      </c>
      <c r="H12" s="6">
        <v>1.42</v>
      </c>
      <c r="I12" s="23">
        <f>(6*(E12/1000)*(H12/1000))/(($K$3/1000)^2)</f>
        <v>5.7047641696393182E-2</v>
      </c>
      <c r="J12" s="6">
        <v>3.1</v>
      </c>
      <c r="K12" s="22">
        <f>((($K$3/1000)^3)*(J12*1000))/(4*(C12/1000)*((E12/1000)^3))/1000000</f>
        <v>0.41187906771413402</v>
      </c>
    </row>
    <row r="13" spans="1:11" x14ac:dyDescent="0.25">
      <c r="A13" s="7" t="s">
        <v>4</v>
      </c>
      <c r="B13" s="9" t="e">
        <f t="shared" ref="B13:K13" si="0">AVERAGE(B8:B12)</f>
        <v>#DIV/0!</v>
      </c>
      <c r="C13" s="10">
        <f t="shared" si="0"/>
        <v>77.878</v>
      </c>
      <c r="D13" s="8">
        <f t="shared" si="0"/>
        <v>75.902000000000001</v>
      </c>
      <c r="E13" s="11">
        <f t="shared" si="0"/>
        <v>12.034000000000002</v>
      </c>
      <c r="F13" s="10">
        <f t="shared" si="0"/>
        <v>17.68</v>
      </c>
      <c r="G13" s="8">
        <f t="shared" si="0"/>
        <v>102.98015303409474</v>
      </c>
      <c r="H13" s="8">
        <f t="shared" si="0"/>
        <v>1.3580000000000001</v>
      </c>
      <c r="I13" s="28">
        <f t="shared" si="0"/>
        <v>5.1989726516052326E-2</v>
      </c>
      <c r="J13" s="8">
        <f t="shared" si="0"/>
        <v>4.3400000000000007</v>
      </c>
      <c r="K13" s="11">
        <f t="shared" si="0"/>
        <v>0.67206692849804806</v>
      </c>
    </row>
    <row r="14" spans="1:11" ht="15.75" thickBot="1" x14ac:dyDescent="0.3">
      <c r="A14" s="15" t="s">
        <v>5</v>
      </c>
      <c r="B14" s="16" t="e">
        <f t="shared" ref="B14:K14" si="1">STDEV(B8:B12)</f>
        <v>#DIV/0!</v>
      </c>
      <c r="C14" s="12">
        <f t="shared" si="1"/>
        <v>1.9778700665109394</v>
      </c>
      <c r="D14" s="13">
        <f t="shared" si="1"/>
        <v>3.2212373399052727</v>
      </c>
      <c r="E14" s="14">
        <f t="shared" si="1"/>
        <v>0.59718506344348554</v>
      </c>
      <c r="F14" s="12">
        <f t="shared" si="1"/>
        <v>1.5106290080625362</v>
      </c>
      <c r="G14" s="13">
        <f t="shared" si="1"/>
        <v>13.872305141804832</v>
      </c>
      <c r="H14" s="13">
        <f t="shared" si="1"/>
        <v>0.12214745187681976</v>
      </c>
      <c r="I14" s="29">
        <f t="shared" si="1"/>
        <v>7.0632211854629832E-3</v>
      </c>
      <c r="J14" s="13">
        <f t="shared" si="1"/>
        <v>0.98640762365261137</v>
      </c>
      <c r="K14" s="14">
        <f t="shared" si="1"/>
        <v>0.20535356584958561</v>
      </c>
    </row>
    <row r="16" spans="1:11" ht="15.75" thickBot="1" x14ac:dyDescent="0.3"/>
    <row r="17" spans="1:11" x14ac:dyDescent="0.25">
      <c r="A17" s="52" t="s">
        <v>31</v>
      </c>
      <c r="B17" s="54" t="s">
        <v>9</v>
      </c>
      <c r="C17" s="52" t="s">
        <v>8</v>
      </c>
      <c r="D17" s="56"/>
      <c r="E17" s="57"/>
      <c r="F17" s="52" t="s">
        <v>0</v>
      </c>
      <c r="G17" s="56"/>
      <c r="H17" s="56"/>
      <c r="I17" s="56"/>
      <c r="J17" s="56"/>
      <c r="K17" s="57"/>
    </row>
    <row r="18" spans="1:11" x14ac:dyDescent="0.25">
      <c r="A18" s="53"/>
      <c r="B18" s="55"/>
      <c r="C18" s="53"/>
      <c r="D18" s="58"/>
      <c r="E18" s="59"/>
      <c r="F18" s="53" t="s">
        <v>15</v>
      </c>
      <c r="G18" s="58"/>
      <c r="H18" s="58"/>
      <c r="I18" s="58"/>
      <c r="J18" s="58"/>
      <c r="K18" s="20">
        <v>43.5</v>
      </c>
    </row>
    <row r="19" spans="1:11" x14ac:dyDescent="0.25">
      <c r="A19" s="53"/>
      <c r="B19" s="55"/>
      <c r="C19" s="60" t="s">
        <v>26</v>
      </c>
      <c r="D19" s="63" t="s">
        <v>6</v>
      </c>
      <c r="E19" s="66" t="s">
        <v>7</v>
      </c>
      <c r="F19" s="69" t="s">
        <v>27</v>
      </c>
      <c r="G19" s="70"/>
      <c r="H19" s="70"/>
      <c r="I19" s="70"/>
      <c r="J19" s="71"/>
      <c r="K19" s="21">
        <v>0.2</v>
      </c>
    </row>
    <row r="20" spans="1:11" ht="25.5" x14ac:dyDescent="0.25">
      <c r="A20" s="53"/>
      <c r="B20" s="55"/>
      <c r="C20" s="61"/>
      <c r="D20" s="64"/>
      <c r="E20" s="67"/>
      <c r="F20" s="17" t="s">
        <v>20</v>
      </c>
      <c r="G20" s="18" t="s">
        <v>19</v>
      </c>
      <c r="H20" s="18" t="s">
        <v>22</v>
      </c>
      <c r="I20" s="18" t="s">
        <v>21</v>
      </c>
      <c r="J20" s="18" t="s">
        <v>24</v>
      </c>
      <c r="K20" s="4" t="s">
        <v>13</v>
      </c>
    </row>
    <row r="21" spans="1:11" x14ac:dyDescent="0.25">
      <c r="A21" s="53"/>
      <c r="B21" s="55"/>
      <c r="C21" s="62"/>
      <c r="D21" s="65"/>
      <c r="E21" s="68"/>
      <c r="F21" s="1" t="s">
        <v>16</v>
      </c>
      <c r="G21" s="2" t="s">
        <v>17</v>
      </c>
      <c r="H21" s="2" t="s">
        <v>18</v>
      </c>
      <c r="I21" s="2" t="s">
        <v>23</v>
      </c>
      <c r="J21" s="2" t="s">
        <v>25</v>
      </c>
      <c r="K21" s="4" t="s">
        <v>28</v>
      </c>
    </row>
    <row r="22" spans="1:11" x14ac:dyDescent="0.25">
      <c r="A22" s="53"/>
      <c r="B22" s="3" t="s">
        <v>10</v>
      </c>
      <c r="C22" s="1" t="s">
        <v>1</v>
      </c>
      <c r="D22" s="2" t="s">
        <v>1</v>
      </c>
      <c r="E22" s="4" t="s">
        <v>1</v>
      </c>
      <c r="F22" s="1" t="s">
        <v>2</v>
      </c>
      <c r="G22" s="2" t="s">
        <v>11</v>
      </c>
      <c r="H22" s="2" t="s">
        <v>1</v>
      </c>
      <c r="I22" s="2" t="s">
        <v>12</v>
      </c>
      <c r="J22" s="2" t="s">
        <v>3</v>
      </c>
      <c r="K22" s="4" t="s">
        <v>14</v>
      </c>
    </row>
    <row r="23" spans="1:11" x14ac:dyDescent="0.25">
      <c r="A23" s="5">
        <v>1</v>
      </c>
      <c r="B23" s="6"/>
      <c r="C23" s="6">
        <v>81.97</v>
      </c>
      <c r="D23" s="6">
        <v>79.45</v>
      </c>
      <c r="E23" s="6">
        <v>11.08</v>
      </c>
      <c r="F23" s="6">
        <v>18.899999999999999</v>
      </c>
      <c r="G23" s="22">
        <f>(3*F23*$K$18/1000)/((2*(C23/1000)*((E23/1000)^2)))/1000</f>
        <v>122.54846175876975</v>
      </c>
      <c r="H23" s="6">
        <v>2.5299999999999998</v>
      </c>
      <c r="I23" s="23">
        <f>(6*(E23/1000)*(H23/1000))/(($K$18/1000)^2)</f>
        <v>8.8885929449068563E-2</v>
      </c>
      <c r="J23" s="6">
        <v>1.8</v>
      </c>
      <c r="K23" s="22">
        <f>((($K$18/1000)^3)*(J23*1000))/(4*(C23/1000)*((E23/1000)^3))/1000000</f>
        <v>0.33220492631229154</v>
      </c>
    </row>
    <row r="24" spans="1:11" x14ac:dyDescent="0.25">
      <c r="A24" s="5">
        <v>2</v>
      </c>
      <c r="B24" s="6"/>
      <c r="C24" s="6">
        <v>80.09</v>
      </c>
      <c r="D24" s="6">
        <v>78.23</v>
      </c>
      <c r="E24" s="6">
        <v>11.71</v>
      </c>
      <c r="F24" s="6">
        <v>18.399999999999999</v>
      </c>
      <c r="G24" s="22">
        <f>(3*F24*$K$18/1000)/((2*(C24/1000)*((E24/1000)^2)))/1000</f>
        <v>109.32166945870998</v>
      </c>
      <c r="H24" s="6">
        <v>1.48</v>
      </c>
      <c r="I24" s="23">
        <f>(6*(E24/1000)*(H24/1000))/(($K$18/1000)^2)</f>
        <v>5.4952992469282619E-2</v>
      </c>
      <c r="J24" s="6">
        <v>4.2</v>
      </c>
      <c r="K24" s="22">
        <f>((($K$18/1000)^3)*(J24*1000))/(4*(C24/1000)*((E24/1000)^3))/1000000</f>
        <v>0.67206006721898182</v>
      </c>
    </row>
    <row r="25" spans="1:11" x14ac:dyDescent="0.25">
      <c r="A25" s="5">
        <v>3</v>
      </c>
      <c r="B25" s="6"/>
      <c r="C25" s="6">
        <v>75.400000000000006</v>
      </c>
      <c r="D25" s="6">
        <v>74.36</v>
      </c>
      <c r="E25" s="6">
        <v>11.04</v>
      </c>
      <c r="F25" s="6">
        <v>11.27</v>
      </c>
      <c r="G25" s="22">
        <f>(3*F25*$K$18/1000)/((2*(C25/1000)*((E25/1000)^2)))/1000</f>
        <v>80.019335284280956</v>
      </c>
      <c r="H25" s="6">
        <v>1.42</v>
      </c>
      <c r="I25" s="23">
        <f>(6*(E25/1000)*(H25/1000))/(($K$18/1000)^2)</f>
        <v>4.970844233055885E-2</v>
      </c>
      <c r="J25" s="6">
        <v>1.8</v>
      </c>
      <c r="K25" s="22">
        <f>((($K$18/1000)^3)*(J25*1000))/(4*(C25/1000)*((E25/1000)^3))/1000000</f>
        <v>0.36509149722155915</v>
      </c>
    </row>
    <row r="26" spans="1:11" x14ac:dyDescent="0.25">
      <c r="A26" s="5">
        <v>4</v>
      </c>
      <c r="B26" s="6"/>
      <c r="C26" s="6">
        <v>79.150000000000006</v>
      </c>
      <c r="D26" s="6">
        <v>78.47</v>
      </c>
      <c r="E26" s="6">
        <v>11.79</v>
      </c>
      <c r="F26" s="6">
        <v>17.010000000000002</v>
      </c>
      <c r="G26" s="22">
        <f>(3*F26*$K$18/1000)/((2*(C26/1000)*((E26/1000)^2)))/1000</f>
        <v>100.88028493701822</v>
      </c>
      <c r="H26" s="6">
        <v>1.41</v>
      </c>
      <c r="I26" s="23">
        <f>(6*(E26/1000)*(H26/1000))/(($K$18/1000)^2)</f>
        <v>5.2711533888228301E-2</v>
      </c>
      <c r="J26" s="6">
        <v>2.8</v>
      </c>
      <c r="K26" s="22">
        <f>((($K$18/1000)^3)*(J26*1000))/(4*(C26/1000)*((E26/1000)^3))/1000000</f>
        <v>0.44419480639604764</v>
      </c>
    </row>
    <row r="27" spans="1:11" x14ac:dyDescent="0.25">
      <c r="A27" s="5">
        <v>5</v>
      </c>
      <c r="B27" s="6"/>
      <c r="C27" s="6">
        <v>79.88</v>
      </c>
      <c r="D27" s="6">
        <v>78.5</v>
      </c>
      <c r="E27" s="6">
        <v>12.15</v>
      </c>
      <c r="F27" s="6">
        <v>20.09</v>
      </c>
      <c r="G27" s="22">
        <f>(3*F27*$K$18/1000)/((2*(C27/1000)*((E27/1000)^2)))/1000</f>
        <v>111.16545264474975</v>
      </c>
      <c r="H27" s="6">
        <v>1.92</v>
      </c>
      <c r="I27" s="23">
        <f>(6*(E27/1000)*(H27/1000))/(($K$18/1000)^2)</f>
        <v>7.3969084423305589E-2</v>
      </c>
      <c r="J27" s="6">
        <v>5.0999999999999996</v>
      </c>
      <c r="K27" s="22">
        <f>((($K$18/1000)^3)*(J27*1000))/(4*(C27/1000)*((E27/1000)^3))/1000000</f>
        <v>0.73250579635251867</v>
      </c>
    </row>
    <row r="28" spans="1:11" x14ac:dyDescent="0.25">
      <c r="A28" s="7" t="s">
        <v>4</v>
      </c>
      <c r="B28" s="9" t="e">
        <f t="shared" ref="B28:K28" si="2">AVERAGE(B23:B27)</f>
        <v>#DIV/0!</v>
      </c>
      <c r="C28" s="10">
        <f t="shared" si="2"/>
        <v>79.298000000000002</v>
      </c>
      <c r="D28" s="8">
        <f t="shared" si="2"/>
        <v>77.801999999999992</v>
      </c>
      <c r="E28" s="11">
        <f t="shared" si="2"/>
        <v>11.553999999999998</v>
      </c>
      <c r="F28" s="10">
        <f t="shared" si="2"/>
        <v>17.134</v>
      </c>
      <c r="G28" s="8">
        <f t="shared" si="2"/>
        <v>104.78704081670574</v>
      </c>
      <c r="H28" s="8">
        <f t="shared" si="2"/>
        <v>1.752</v>
      </c>
      <c r="I28" s="28">
        <f t="shared" si="2"/>
        <v>6.4045596512088784E-2</v>
      </c>
      <c r="J28" s="8">
        <f t="shared" si="2"/>
        <v>3.1399999999999997</v>
      </c>
      <c r="K28" s="11">
        <f t="shared" si="2"/>
        <v>0.50921141870027975</v>
      </c>
    </row>
    <row r="29" spans="1:11" ht="15.75" thickBot="1" x14ac:dyDescent="0.3">
      <c r="A29" s="15" t="s">
        <v>5</v>
      </c>
      <c r="B29" s="16" t="e">
        <f t="shared" ref="B29:K29" si="3">STDEV(B23:B27)</f>
        <v>#DIV/0!</v>
      </c>
      <c r="C29" s="12">
        <f t="shared" si="3"/>
        <v>2.4146366186240091</v>
      </c>
      <c r="D29" s="13">
        <f t="shared" si="3"/>
        <v>1.9798914111637547</v>
      </c>
      <c r="E29" s="14">
        <f t="shared" si="3"/>
        <v>0.48065580200388747</v>
      </c>
      <c r="F29" s="12">
        <f t="shared" si="3"/>
        <v>3.4590938119686689</v>
      </c>
      <c r="G29" s="13">
        <f t="shared" si="3"/>
        <v>15.854155977964959</v>
      </c>
      <c r="H29" s="13">
        <f t="shared" si="3"/>
        <v>0.48339424903488371</v>
      </c>
      <c r="I29" s="29">
        <f t="shared" si="3"/>
        <v>1.6824150547723661E-2</v>
      </c>
      <c r="J29" s="13">
        <f t="shared" si="3"/>
        <v>1.4724129855444772</v>
      </c>
      <c r="K29" s="14">
        <f t="shared" si="3"/>
        <v>0.18214628146459563</v>
      </c>
    </row>
    <row r="31" spans="1:11" ht="15.75" thickBot="1" x14ac:dyDescent="0.3"/>
    <row r="32" spans="1:11" x14ac:dyDescent="0.25">
      <c r="A32" s="52" t="s">
        <v>32</v>
      </c>
      <c r="B32" s="54" t="s">
        <v>9</v>
      </c>
      <c r="C32" s="52" t="s">
        <v>8</v>
      </c>
      <c r="D32" s="56"/>
      <c r="E32" s="57"/>
      <c r="F32" s="52" t="s">
        <v>0</v>
      </c>
      <c r="G32" s="56"/>
      <c r="H32" s="56"/>
      <c r="I32" s="56"/>
      <c r="J32" s="56"/>
      <c r="K32" s="57"/>
    </row>
    <row r="33" spans="1:11" x14ac:dyDescent="0.25">
      <c r="A33" s="53"/>
      <c r="B33" s="55"/>
      <c r="C33" s="53"/>
      <c r="D33" s="58"/>
      <c r="E33" s="59"/>
      <c r="F33" s="53" t="s">
        <v>15</v>
      </c>
      <c r="G33" s="58"/>
      <c r="H33" s="58"/>
      <c r="I33" s="58"/>
      <c r="J33" s="58"/>
      <c r="K33" s="20">
        <v>43.5</v>
      </c>
    </row>
    <row r="34" spans="1:11" x14ac:dyDescent="0.25">
      <c r="A34" s="53"/>
      <c r="B34" s="55"/>
      <c r="C34" s="60" t="s">
        <v>26</v>
      </c>
      <c r="D34" s="63" t="s">
        <v>6</v>
      </c>
      <c r="E34" s="66" t="s">
        <v>7</v>
      </c>
      <c r="F34" s="69" t="s">
        <v>27</v>
      </c>
      <c r="G34" s="70"/>
      <c r="H34" s="70"/>
      <c r="I34" s="70"/>
      <c r="J34" s="71"/>
      <c r="K34" s="21">
        <v>0.2</v>
      </c>
    </row>
    <row r="35" spans="1:11" ht="25.5" x14ac:dyDescent="0.25">
      <c r="A35" s="53"/>
      <c r="B35" s="55"/>
      <c r="C35" s="61"/>
      <c r="D35" s="64"/>
      <c r="E35" s="67"/>
      <c r="F35" s="17" t="s">
        <v>20</v>
      </c>
      <c r="G35" s="18" t="s">
        <v>19</v>
      </c>
      <c r="H35" s="18" t="s">
        <v>22</v>
      </c>
      <c r="I35" s="18" t="s">
        <v>21</v>
      </c>
      <c r="J35" s="18" t="s">
        <v>24</v>
      </c>
      <c r="K35" s="4" t="s">
        <v>13</v>
      </c>
    </row>
    <row r="36" spans="1:11" x14ac:dyDescent="0.25">
      <c r="A36" s="53"/>
      <c r="B36" s="55"/>
      <c r="C36" s="62"/>
      <c r="D36" s="65"/>
      <c r="E36" s="68"/>
      <c r="F36" s="1" t="s">
        <v>16</v>
      </c>
      <c r="G36" s="2" t="s">
        <v>17</v>
      </c>
      <c r="H36" s="2" t="s">
        <v>18</v>
      </c>
      <c r="I36" s="2" t="s">
        <v>23</v>
      </c>
      <c r="J36" s="2" t="s">
        <v>25</v>
      </c>
      <c r="K36" s="4" t="s">
        <v>28</v>
      </c>
    </row>
    <row r="37" spans="1:11" x14ac:dyDescent="0.25">
      <c r="A37" s="53"/>
      <c r="B37" s="3" t="s">
        <v>10</v>
      </c>
      <c r="C37" s="1" t="s">
        <v>1</v>
      </c>
      <c r="D37" s="2" t="s">
        <v>1</v>
      </c>
      <c r="E37" s="4" t="s">
        <v>1</v>
      </c>
      <c r="F37" s="1" t="s">
        <v>2</v>
      </c>
      <c r="G37" s="2" t="s">
        <v>11</v>
      </c>
      <c r="H37" s="2" t="s">
        <v>1</v>
      </c>
      <c r="I37" s="2" t="s">
        <v>12</v>
      </c>
      <c r="J37" s="2" t="s">
        <v>3</v>
      </c>
      <c r="K37" s="4" t="s">
        <v>14</v>
      </c>
    </row>
    <row r="38" spans="1:11" x14ac:dyDescent="0.25">
      <c r="A38" s="5">
        <v>1</v>
      </c>
      <c r="B38" s="6"/>
      <c r="C38" s="6">
        <v>58.38</v>
      </c>
      <c r="D38" s="6">
        <v>53.18</v>
      </c>
      <c r="E38" s="6">
        <v>13.24</v>
      </c>
      <c r="F38" s="6">
        <v>11.3</v>
      </c>
      <c r="G38" s="22">
        <f>(3*F38*$K$18/1000)/((2*(C38/1000)*((E38/1000)^2)))/1000</f>
        <v>72.047497171581327</v>
      </c>
      <c r="H38" s="6">
        <v>1.59</v>
      </c>
      <c r="I38" s="23">
        <f>(6*(E38/1000)*(H38/1000))/(($K$18/1000)^2)</f>
        <v>6.6751010701545779E-2</v>
      </c>
      <c r="J38" s="6">
        <v>2.5</v>
      </c>
      <c r="K38" s="22">
        <f>((($K$18/1000)^3)*(J38*1000))/(4*(C38/1000)*((E38/1000)^3))/1000000</f>
        <v>0.37968176717922791</v>
      </c>
    </row>
    <row r="39" spans="1:11" x14ac:dyDescent="0.25">
      <c r="A39" s="5">
        <v>2</v>
      </c>
      <c r="B39" s="6"/>
      <c r="C39" s="6">
        <v>75.67</v>
      </c>
      <c r="D39" s="6">
        <v>72.77</v>
      </c>
      <c r="E39" s="6">
        <v>11.32</v>
      </c>
      <c r="F39" s="6">
        <v>9.4</v>
      </c>
      <c r="G39" s="22">
        <f>(3*F39*$K$18/1000)/((2*(C39/1000)*((E39/1000)^2)))/1000</f>
        <v>63.254551671513887</v>
      </c>
      <c r="H39" s="6">
        <v>1.43</v>
      </c>
      <c r="I39" s="23">
        <f>(6*(E39/1000)*(H39/1000))/(($K$18/1000)^2)</f>
        <v>5.1328101466508132E-2</v>
      </c>
      <c r="J39" s="6">
        <v>2.6</v>
      </c>
      <c r="K39" s="22">
        <f>((($K$18/1000)^3)*(J39*1000))/(4*(C39/1000)*((E39/1000)^3))/1000000</f>
        <v>0.48743657438209143</v>
      </c>
    </row>
    <row r="40" spans="1:11" x14ac:dyDescent="0.25">
      <c r="A40" s="5">
        <v>3</v>
      </c>
      <c r="B40" s="6"/>
      <c r="C40" s="6">
        <v>80.930000000000007</v>
      </c>
      <c r="D40" s="6">
        <v>76.97</v>
      </c>
      <c r="E40" s="6">
        <v>12.9</v>
      </c>
      <c r="F40" s="6">
        <v>8.5</v>
      </c>
      <c r="G40" s="22">
        <f>(3*F40*$K$18/1000)/((2*(C40/1000)*((E40/1000)^2)))/1000</f>
        <v>41.182288882546246</v>
      </c>
      <c r="H40" s="6">
        <v>1.56</v>
      </c>
      <c r="I40" s="23">
        <f>(6*(E40/1000)*(H40/1000))/(($K$18/1000)^2)</f>
        <v>6.3809750297265169E-2</v>
      </c>
      <c r="J40" s="6">
        <v>1.8</v>
      </c>
      <c r="K40" s="22">
        <f>((($K$18/1000)^3)*(J40*1000))/(4*(C40/1000)*((E40/1000)^3))/1000000</f>
        <v>0.21320707561695787</v>
      </c>
    </row>
    <row r="41" spans="1:11" x14ac:dyDescent="0.25">
      <c r="A41" s="5">
        <v>4</v>
      </c>
      <c r="B41" s="6"/>
      <c r="C41" s="6">
        <v>80.67</v>
      </c>
      <c r="D41" s="6">
        <v>72.180000000000007</v>
      </c>
      <c r="E41" s="6">
        <v>12.78</v>
      </c>
      <c r="F41" s="6">
        <v>8.1</v>
      </c>
      <c r="G41" s="22">
        <f>(3*F41*$K$18/1000)/((2*(C41/1000)*((E41/1000)^2)))/1000</f>
        <v>40.11361207750592</v>
      </c>
      <c r="H41" s="6">
        <v>1.61</v>
      </c>
      <c r="I41" s="23">
        <f>(6*(E41/1000)*(H41/1000))/(($K$18/1000)^2)</f>
        <v>6.5242330558858502E-2</v>
      </c>
      <c r="J41" s="6">
        <v>1.5</v>
      </c>
      <c r="K41" s="22">
        <f>((($K$18/1000)^3)*(J41*1000))/(4*(C41/1000)*((E41/1000)^3))/1000000</f>
        <v>0.18331348763901101</v>
      </c>
    </row>
    <row r="42" spans="1:11" x14ac:dyDescent="0.25">
      <c r="A42" s="5">
        <v>5</v>
      </c>
      <c r="B42" s="6"/>
      <c r="C42" s="6">
        <v>78.87</v>
      </c>
      <c r="D42" s="6">
        <v>73.39</v>
      </c>
      <c r="E42" s="6">
        <v>12.99</v>
      </c>
      <c r="F42" s="6">
        <v>11.1</v>
      </c>
      <c r="G42" s="22">
        <f>(3*F42*$K$18/1000)/((2*(C42/1000)*((E42/1000)^2)))/1000</f>
        <v>54.421856372591726</v>
      </c>
      <c r="H42" s="6">
        <v>1.8</v>
      </c>
      <c r="I42" s="23">
        <f>(6*(E42/1000)*(H42/1000))/(($K$18/1000)^2)</f>
        <v>7.4140309155766942E-2</v>
      </c>
      <c r="J42" s="6">
        <v>1.5</v>
      </c>
      <c r="K42" s="22">
        <f>((($K$18/1000)^3)*(J42*1000))/(4*(C42/1000)*((E42/1000)^3))/1000000</f>
        <v>0.17854995478336882</v>
      </c>
    </row>
    <row r="43" spans="1:11" x14ac:dyDescent="0.25">
      <c r="A43" s="7" t="s">
        <v>4</v>
      </c>
      <c r="B43" s="9" t="e">
        <f t="shared" ref="B43:K43" si="4">AVERAGE(B38:B42)</f>
        <v>#DIV/0!</v>
      </c>
      <c r="C43" s="10">
        <f t="shared" si="4"/>
        <v>74.904000000000011</v>
      </c>
      <c r="D43" s="8">
        <f t="shared" si="4"/>
        <v>69.698000000000008</v>
      </c>
      <c r="E43" s="11">
        <f t="shared" si="4"/>
        <v>12.646000000000001</v>
      </c>
      <c r="F43" s="10">
        <f t="shared" si="4"/>
        <v>9.6800000000000015</v>
      </c>
      <c r="G43" s="8">
        <f t="shared" si="4"/>
        <v>54.203961235147823</v>
      </c>
      <c r="H43" s="8">
        <f t="shared" si="4"/>
        <v>1.5980000000000001</v>
      </c>
      <c r="I43" s="28">
        <f t="shared" si="4"/>
        <v>6.4254300435988912E-2</v>
      </c>
      <c r="J43" s="8">
        <f t="shared" si="4"/>
        <v>1.9799999999999998</v>
      </c>
      <c r="K43" s="11">
        <f t="shared" si="4"/>
        <v>0.28843777192013142</v>
      </c>
    </row>
    <row r="44" spans="1:11" ht="15.75" thickBot="1" x14ac:dyDescent="0.3">
      <c r="A44" s="15" t="s">
        <v>5</v>
      </c>
      <c r="B44" s="16" t="e">
        <f t="shared" ref="B44:K44" si="5">STDEV(B38:B42)</f>
        <v>#DIV/0!</v>
      </c>
      <c r="C44" s="12">
        <f t="shared" si="5"/>
        <v>9.4725645946596249</v>
      </c>
      <c r="D44" s="13">
        <f t="shared" si="5"/>
        <v>9.4201204875521487</v>
      </c>
      <c r="E44" s="14">
        <f t="shared" si="5"/>
        <v>0.76024995889509916</v>
      </c>
      <c r="F44" s="12">
        <f t="shared" si="5"/>
        <v>1.4669696656713753</v>
      </c>
      <c r="G44" s="13">
        <f t="shared" si="5"/>
        <v>13.860504414480395</v>
      </c>
      <c r="H44" s="13">
        <f t="shared" si="5"/>
        <v>0.1329285522376589</v>
      </c>
      <c r="I44" s="29">
        <f t="shared" si="5"/>
        <v>8.2496542155687802E-3</v>
      </c>
      <c r="J44" s="13">
        <f t="shared" si="5"/>
        <v>0.53572380943915565</v>
      </c>
      <c r="K44" s="14">
        <f t="shared" si="5"/>
        <v>0.13848474213708245</v>
      </c>
    </row>
    <row r="46" spans="1:11" ht="15.75" thickBot="1" x14ac:dyDescent="0.3"/>
    <row r="47" spans="1:11" x14ac:dyDescent="0.25">
      <c r="A47" s="52" t="s">
        <v>33</v>
      </c>
      <c r="B47" s="54" t="s">
        <v>9</v>
      </c>
      <c r="C47" s="52" t="s">
        <v>8</v>
      </c>
      <c r="D47" s="56"/>
      <c r="E47" s="57"/>
      <c r="F47" s="52" t="s">
        <v>0</v>
      </c>
      <c r="G47" s="56"/>
      <c r="H47" s="56"/>
      <c r="I47" s="56"/>
      <c r="J47" s="56"/>
      <c r="K47" s="57"/>
    </row>
    <row r="48" spans="1:11" x14ac:dyDescent="0.25">
      <c r="A48" s="53"/>
      <c r="B48" s="55"/>
      <c r="C48" s="53"/>
      <c r="D48" s="58"/>
      <c r="E48" s="59"/>
      <c r="F48" s="53" t="s">
        <v>15</v>
      </c>
      <c r="G48" s="58"/>
      <c r="H48" s="58"/>
      <c r="I48" s="58"/>
      <c r="J48" s="58"/>
      <c r="K48" s="20">
        <v>43.5</v>
      </c>
    </row>
    <row r="49" spans="1:11" x14ac:dyDescent="0.25">
      <c r="A49" s="53"/>
      <c r="B49" s="55"/>
      <c r="C49" s="60" t="s">
        <v>26</v>
      </c>
      <c r="D49" s="63" t="s">
        <v>6</v>
      </c>
      <c r="E49" s="66" t="s">
        <v>7</v>
      </c>
      <c r="F49" s="69" t="s">
        <v>27</v>
      </c>
      <c r="G49" s="70"/>
      <c r="H49" s="70"/>
      <c r="I49" s="70"/>
      <c r="J49" s="71"/>
      <c r="K49" s="21">
        <v>0.2</v>
      </c>
    </row>
    <row r="50" spans="1:11" ht="25.5" x14ac:dyDescent="0.25">
      <c r="A50" s="53"/>
      <c r="B50" s="55"/>
      <c r="C50" s="61"/>
      <c r="D50" s="64"/>
      <c r="E50" s="67"/>
      <c r="F50" s="17" t="s">
        <v>20</v>
      </c>
      <c r="G50" s="18" t="s">
        <v>19</v>
      </c>
      <c r="H50" s="18" t="s">
        <v>22</v>
      </c>
      <c r="I50" s="18" t="s">
        <v>21</v>
      </c>
      <c r="J50" s="18" t="s">
        <v>24</v>
      </c>
      <c r="K50" s="4" t="s">
        <v>13</v>
      </c>
    </row>
    <row r="51" spans="1:11" x14ac:dyDescent="0.25">
      <c r="A51" s="53"/>
      <c r="B51" s="55"/>
      <c r="C51" s="62"/>
      <c r="D51" s="65"/>
      <c r="E51" s="68"/>
      <c r="F51" s="1" t="s">
        <v>16</v>
      </c>
      <c r="G51" s="2" t="s">
        <v>17</v>
      </c>
      <c r="H51" s="2" t="s">
        <v>18</v>
      </c>
      <c r="I51" s="2" t="s">
        <v>23</v>
      </c>
      <c r="J51" s="2" t="s">
        <v>25</v>
      </c>
      <c r="K51" s="4" t="s">
        <v>28</v>
      </c>
    </row>
    <row r="52" spans="1:11" x14ac:dyDescent="0.25">
      <c r="A52" s="53"/>
      <c r="B52" s="3" t="s">
        <v>10</v>
      </c>
      <c r="C52" s="1" t="s">
        <v>1</v>
      </c>
      <c r="D52" s="2" t="s">
        <v>1</v>
      </c>
      <c r="E52" s="4" t="s">
        <v>1</v>
      </c>
      <c r="F52" s="1" t="s">
        <v>2</v>
      </c>
      <c r="G52" s="2" t="s">
        <v>11</v>
      </c>
      <c r="H52" s="2" t="s">
        <v>1</v>
      </c>
      <c r="I52" s="2" t="s">
        <v>12</v>
      </c>
      <c r="J52" s="2" t="s">
        <v>3</v>
      </c>
      <c r="K52" s="4" t="s">
        <v>14</v>
      </c>
    </row>
    <row r="53" spans="1:11" x14ac:dyDescent="0.25">
      <c r="A53" s="5">
        <v>1</v>
      </c>
      <c r="B53" s="6"/>
      <c r="C53" s="6">
        <v>81.38</v>
      </c>
      <c r="D53" s="6">
        <v>80.89</v>
      </c>
      <c r="E53" s="6">
        <v>12.25</v>
      </c>
      <c r="F53" s="6">
        <v>16.7</v>
      </c>
      <c r="G53" s="22">
        <f>(3*F53*$K$18/1000)/((2*(C53/1000)*((E53/1000)^2)))/1000</f>
        <v>89.229225677963086</v>
      </c>
      <c r="H53" s="6">
        <v>1.17</v>
      </c>
      <c r="I53" s="23">
        <f>(6*(E53/1000)*(H53/1000))/(($K$18/1000)^2)</f>
        <v>4.5445897740784794E-2</v>
      </c>
      <c r="J53" s="6">
        <v>5.3</v>
      </c>
      <c r="K53" s="22">
        <f>((($K$18/1000)^3)*(J53*1000))/(4*(C53/1000)*((E53/1000)^3))/1000000</f>
        <v>0.72905064331122704</v>
      </c>
    </row>
    <row r="54" spans="1:11" x14ac:dyDescent="0.25">
      <c r="A54" s="5">
        <v>2</v>
      </c>
      <c r="B54" s="6"/>
      <c r="C54" s="6">
        <v>77.099999999999994</v>
      </c>
      <c r="D54" s="6">
        <v>70.92</v>
      </c>
      <c r="E54" s="6">
        <v>11.31</v>
      </c>
      <c r="F54" s="6">
        <v>15.9</v>
      </c>
      <c r="G54" s="22">
        <f>(3*F54*$K$18/1000)/((2*(C54/1000)*((E54/1000)^2)))/1000</f>
        <v>105.19571563652939</v>
      </c>
      <c r="H54" s="6">
        <v>1.1399999999999999</v>
      </c>
      <c r="I54" s="23">
        <f>(6*(E54/1000)*(H54/1000))/(($K$18/1000)^2)</f>
        <v>4.0882758620689665E-2</v>
      </c>
      <c r="J54" s="6">
        <v>3.9</v>
      </c>
      <c r="K54" s="22">
        <f>((($K$18/1000)^3)*(J54*1000))/(4*(C54/1000)*((E54/1000)^3))/1000000</f>
        <v>0.71949899845739396</v>
      </c>
    </row>
    <row r="55" spans="1:11" x14ac:dyDescent="0.25">
      <c r="A55" s="5">
        <v>3</v>
      </c>
      <c r="B55" s="6"/>
      <c r="C55" s="6">
        <v>78.650000000000006</v>
      </c>
      <c r="D55" s="6">
        <v>76.44</v>
      </c>
      <c r="E55" s="6">
        <v>11.99</v>
      </c>
      <c r="F55" s="6">
        <v>18.899999999999999</v>
      </c>
      <c r="G55" s="22">
        <f>(3*F55*$K$18/1000)/((2*(C55/1000)*((E55/1000)^2)))/1000</f>
        <v>109.069978374339</v>
      </c>
      <c r="H55" s="6">
        <v>1.21</v>
      </c>
      <c r="I55" s="23">
        <f>(6*(E55/1000)*(H55/1000))/(($K$18/1000)^2)</f>
        <v>4.6002061038446299E-2</v>
      </c>
      <c r="J55" s="6">
        <v>5.3</v>
      </c>
      <c r="K55" s="22">
        <f>((($K$18/1000)^3)*(J55*1000))/(4*(C55/1000)*((E55/1000)^3))/1000000</f>
        <v>0.8045024534465578</v>
      </c>
    </row>
    <row r="56" spans="1:11" x14ac:dyDescent="0.25">
      <c r="A56" s="5">
        <v>4</v>
      </c>
      <c r="B56" s="6"/>
      <c r="C56" s="6">
        <v>79.180000000000007</v>
      </c>
      <c r="D56" s="6">
        <v>77.09</v>
      </c>
      <c r="E56" s="6">
        <v>12.99</v>
      </c>
      <c r="F56" s="6">
        <v>17</v>
      </c>
      <c r="G56" s="22">
        <f>(3*F56*$K$18/1000)/((2*(C56/1000)*((E56/1000)^2)))/1000</f>
        <v>83.022467687726305</v>
      </c>
      <c r="H56" s="6">
        <v>1.91</v>
      </c>
      <c r="I56" s="23">
        <f>(6*(E56/1000)*(H56/1000))/(($K$18/1000)^2)</f>
        <v>7.867110582639715E-2</v>
      </c>
      <c r="J56" s="6">
        <v>3.8</v>
      </c>
      <c r="K56" s="22">
        <f>((($K$18/1000)^3)*(J56*1000))/(4*(C56/1000)*((E56/1000)^3))/1000000</f>
        <v>0.45055563482617117</v>
      </c>
    </row>
    <row r="57" spans="1:11" x14ac:dyDescent="0.25">
      <c r="A57" s="5">
        <v>5</v>
      </c>
      <c r="B57" s="6"/>
      <c r="C57" s="6">
        <v>81.319999999999993</v>
      </c>
      <c r="D57" s="6">
        <v>89.97</v>
      </c>
      <c r="E57" s="6">
        <v>11.46</v>
      </c>
      <c r="F57" s="6">
        <v>19.5</v>
      </c>
      <c r="G57" s="22">
        <f>(3*F57*$K$18/1000)/((2*(C57/1000)*((E57/1000)^2)))/1000</f>
        <v>119.13751086028475</v>
      </c>
      <c r="H57" s="6">
        <v>1.2</v>
      </c>
      <c r="I57" s="23">
        <f>(6*(E57/1000)*(H57/1000))/(($K$18/1000)^2)</f>
        <v>4.3605231866825217E-2</v>
      </c>
      <c r="J57" s="6">
        <v>5.8</v>
      </c>
      <c r="K57" s="22">
        <f>((($K$18/1000)^3)*(J57*1000))/(4*(C57/1000)*((E57/1000)^3))/1000000</f>
        <v>0.97517947119461779</v>
      </c>
    </row>
    <row r="58" spans="1:11" x14ac:dyDescent="0.25">
      <c r="A58" s="7" t="s">
        <v>4</v>
      </c>
      <c r="B58" s="9" t="e">
        <f t="shared" ref="B58:K58" si="6">AVERAGE(B53:B57)</f>
        <v>#DIV/0!</v>
      </c>
      <c r="C58" s="10">
        <f t="shared" si="6"/>
        <v>79.525999999999996</v>
      </c>
      <c r="D58" s="8">
        <f t="shared" si="6"/>
        <v>79.062000000000012</v>
      </c>
      <c r="E58" s="11">
        <f t="shared" si="6"/>
        <v>12.000000000000002</v>
      </c>
      <c r="F58" s="10">
        <f t="shared" si="6"/>
        <v>17.600000000000001</v>
      </c>
      <c r="G58" s="8">
        <f t="shared" si="6"/>
        <v>101.13097964736851</v>
      </c>
      <c r="H58" s="8">
        <f t="shared" si="6"/>
        <v>1.3260000000000001</v>
      </c>
      <c r="I58" s="28">
        <f t="shared" si="6"/>
        <v>5.0921411018628612E-2</v>
      </c>
      <c r="J58" s="8">
        <f t="shared" si="6"/>
        <v>4.82</v>
      </c>
      <c r="K58" s="11">
        <f t="shared" si="6"/>
        <v>0.73575744024719358</v>
      </c>
    </row>
    <row r="59" spans="1:11" ht="15.75" thickBot="1" x14ac:dyDescent="0.3">
      <c r="A59" s="15" t="s">
        <v>5</v>
      </c>
      <c r="B59" s="16" t="e">
        <f t="shared" ref="B59:K59" si="7">STDEV(B53:B57)</f>
        <v>#DIV/0!</v>
      </c>
      <c r="C59" s="12">
        <f t="shared" si="7"/>
        <v>1.8322336095596523</v>
      </c>
      <c r="D59" s="13">
        <f t="shared" si="7"/>
        <v>7.0601324350184811</v>
      </c>
      <c r="E59" s="14">
        <f t="shared" si="7"/>
        <v>0.67275552766216618</v>
      </c>
      <c r="F59" s="12">
        <f t="shared" si="7"/>
        <v>1.5297058540778352</v>
      </c>
      <c r="G59" s="13">
        <f t="shared" si="7"/>
        <v>14.776289272944254</v>
      </c>
      <c r="H59" s="13">
        <f t="shared" si="7"/>
        <v>0.32761257607118766</v>
      </c>
      <c r="I59" s="29">
        <f t="shared" si="7"/>
        <v>1.5640714746740239E-2</v>
      </c>
      <c r="J59" s="13">
        <f t="shared" si="7"/>
        <v>0.90939540355117154</v>
      </c>
      <c r="K59" s="14">
        <f t="shared" si="7"/>
        <v>0.18953770971283895</v>
      </c>
    </row>
    <row r="61" spans="1:11" ht="15.75" thickBot="1" x14ac:dyDescent="0.3"/>
    <row r="62" spans="1:11" x14ac:dyDescent="0.25">
      <c r="A62" s="52" t="s">
        <v>34</v>
      </c>
      <c r="B62" s="54" t="s">
        <v>9</v>
      </c>
      <c r="C62" s="52" t="s">
        <v>8</v>
      </c>
      <c r="D62" s="56"/>
      <c r="E62" s="57"/>
      <c r="F62" s="52" t="s">
        <v>0</v>
      </c>
      <c r="G62" s="56"/>
      <c r="H62" s="56"/>
      <c r="I62" s="56"/>
      <c r="J62" s="56"/>
      <c r="K62" s="57"/>
    </row>
    <row r="63" spans="1:11" x14ac:dyDescent="0.25">
      <c r="A63" s="53"/>
      <c r="B63" s="55"/>
      <c r="C63" s="53"/>
      <c r="D63" s="58"/>
      <c r="E63" s="59"/>
      <c r="F63" s="53" t="s">
        <v>15</v>
      </c>
      <c r="G63" s="58"/>
      <c r="H63" s="58"/>
      <c r="I63" s="58"/>
      <c r="J63" s="58"/>
      <c r="K63" s="20">
        <v>43.5</v>
      </c>
    </row>
    <row r="64" spans="1:11" x14ac:dyDescent="0.25">
      <c r="A64" s="53"/>
      <c r="B64" s="55"/>
      <c r="C64" s="60" t="s">
        <v>26</v>
      </c>
      <c r="D64" s="63" t="s">
        <v>6</v>
      </c>
      <c r="E64" s="66" t="s">
        <v>7</v>
      </c>
      <c r="F64" s="69" t="s">
        <v>27</v>
      </c>
      <c r="G64" s="70"/>
      <c r="H64" s="70"/>
      <c r="I64" s="70"/>
      <c r="J64" s="71"/>
      <c r="K64" s="21">
        <v>0.2</v>
      </c>
    </row>
    <row r="65" spans="1:11" ht="25.5" x14ac:dyDescent="0.25">
      <c r="A65" s="53"/>
      <c r="B65" s="55"/>
      <c r="C65" s="61"/>
      <c r="D65" s="64"/>
      <c r="E65" s="67"/>
      <c r="F65" s="17" t="s">
        <v>20</v>
      </c>
      <c r="G65" s="18" t="s">
        <v>19</v>
      </c>
      <c r="H65" s="18" t="s">
        <v>22</v>
      </c>
      <c r="I65" s="18" t="s">
        <v>21</v>
      </c>
      <c r="J65" s="18" t="s">
        <v>24</v>
      </c>
      <c r="K65" s="4" t="s">
        <v>13</v>
      </c>
    </row>
    <row r="66" spans="1:11" x14ac:dyDescent="0.25">
      <c r="A66" s="53"/>
      <c r="B66" s="55"/>
      <c r="C66" s="62"/>
      <c r="D66" s="65"/>
      <c r="E66" s="68"/>
      <c r="F66" s="1" t="s">
        <v>16</v>
      </c>
      <c r="G66" s="2" t="s">
        <v>17</v>
      </c>
      <c r="H66" s="2" t="s">
        <v>18</v>
      </c>
      <c r="I66" s="2" t="s">
        <v>23</v>
      </c>
      <c r="J66" s="2" t="s">
        <v>25</v>
      </c>
      <c r="K66" s="4" t="s">
        <v>28</v>
      </c>
    </row>
    <row r="67" spans="1:11" x14ac:dyDescent="0.25">
      <c r="A67" s="53"/>
      <c r="B67" s="3" t="s">
        <v>10</v>
      </c>
      <c r="C67" s="1" t="s">
        <v>1</v>
      </c>
      <c r="D67" s="2" t="s">
        <v>1</v>
      </c>
      <c r="E67" s="4" t="s">
        <v>1</v>
      </c>
      <c r="F67" s="1" t="s">
        <v>2</v>
      </c>
      <c r="G67" s="2" t="s">
        <v>11</v>
      </c>
      <c r="H67" s="2" t="s">
        <v>1</v>
      </c>
      <c r="I67" s="2" t="s">
        <v>12</v>
      </c>
      <c r="J67" s="2" t="s">
        <v>3</v>
      </c>
      <c r="K67" s="4" t="s">
        <v>14</v>
      </c>
    </row>
    <row r="68" spans="1:11" x14ac:dyDescent="0.25">
      <c r="A68" s="5">
        <v>1</v>
      </c>
      <c r="B68" s="6"/>
      <c r="C68" s="6">
        <v>75.12</v>
      </c>
      <c r="D68" s="6">
        <v>60.19</v>
      </c>
      <c r="E68" s="6">
        <v>16.7</v>
      </c>
      <c r="F68" s="6">
        <v>13.6</v>
      </c>
      <c r="G68" s="22">
        <f>(3*F68*$K$18/1000)/((2*(C68/1000)*((E68/1000)^2)))/1000</f>
        <v>42.357556891726297</v>
      </c>
      <c r="H68" s="6">
        <v>0.71</v>
      </c>
      <c r="I68" s="23">
        <f>(6*(E68/1000)*(H68/1000))/(($K$18/1000)^2)</f>
        <v>3.7596512088783195E-2</v>
      </c>
      <c r="J68" s="6">
        <v>4.0999999999999996</v>
      </c>
      <c r="K68" s="22">
        <f>((($K$18/1000)^3)*(J68*1000))/(4*(C68/1000)*((E68/1000)^3))/1000000</f>
        <v>0.24114965423294082</v>
      </c>
    </row>
    <row r="69" spans="1:11" x14ac:dyDescent="0.25">
      <c r="A69" s="5">
        <v>2</v>
      </c>
      <c r="B69" s="6"/>
      <c r="C69" s="6">
        <v>69.7</v>
      </c>
      <c r="D69" s="6">
        <v>67.099999999999994</v>
      </c>
      <c r="E69" s="6">
        <v>18.309999999999999</v>
      </c>
      <c r="F69" s="6">
        <v>51.7</v>
      </c>
      <c r="G69" s="22">
        <f>(3*F69*$K$18/1000)/((2*(C69/1000)*((E69/1000)^2)))/1000</f>
        <v>144.36489270105375</v>
      </c>
      <c r="H69" s="6">
        <v>1.34</v>
      </c>
      <c r="I69" s="23">
        <f>(6*(E69/1000)*(H69/1000))/(($K$18/1000)^2)</f>
        <v>7.7797542608006351E-2</v>
      </c>
      <c r="J69" s="6">
        <v>13.2</v>
      </c>
      <c r="K69" s="22">
        <f>((($K$18/1000)^3)*(J69*1000))/(4*(C69/1000)*((E69/1000)^3))/1000000</f>
        <v>0.63486867590915064</v>
      </c>
    </row>
    <row r="70" spans="1:11" x14ac:dyDescent="0.25">
      <c r="A70" s="5">
        <v>3</v>
      </c>
      <c r="B70" s="6"/>
      <c r="C70" s="6">
        <v>65.11</v>
      </c>
      <c r="D70" s="6">
        <v>62.73</v>
      </c>
      <c r="E70" s="6">
        <v>17.920000000000002</v>
      </c>
      <c r="F70" s="6">
        <v>22.9</v>
      </c>
      <c r="G70" s="22">
        <f>(3*F70*$K$18/1000)/((2*(C70/1000)*((E70/1000)^2)))/1000</f>
        <v>71.464818053322801</v>
      </c>
      <c r="H70" s="6">
        <v>0.53</v>
      </c>
      <c r="I70" s="23">
        <f>(6*(E70/1000)*(H70/1000))/(($K$18/1000)^2)</f>
        <v>3.0115259611573526E-2</v>
      </c>
      <c r="J70" s="6">
        <v>11</v>
      </c>
      <c r="K70" s="22">
        <f>((($K$18/1000)^3)*(J70*1000))/(4*(C70/1000)*((E70/1000)^3))/1000000</f>
        <v>0.60414161662028576</v>
      </c>
    </row>
    <row r="71" spans="1:11" x14ac:dyDescent="0.25">
      <c r="A71" s="5">
        <v>4</v>
      </c>
      <c r="B71" s="6"/>
      <c r="C71" s="6">
        <v>72.67</v>
      </c>
      <c r="D71" s="6">
        <v>82.43</v>
      </c>
      <c r="E71" s="6">
        <v>15.1</v>
      </c>
      <c r="F71" s="6">
        <v>57.6</v>
      </c>
      <c r="G71" s="22">
        <f>(3*F71*$K$18/1000)/((2*(C71/1000)*((E71/1000)^2)))/1000</f>
        <v>226.82657996882912</v>
      </c>
      <c r="H71" s="6">
        <v>1.58</v>
      </c>
      <c r="I71" s="23">
        <f>(6*(E71/1000)*(H71/1000))/(($K$18/1000)^2)</f>
        <v>7.5649623464129997E-2</v>
      </c>
      <c r="J71" s="6">
        <v>12.9</v>
      </c>
      <c r="K71" s="22">
        <f>((($K$18/1000)^3)*(J71*1000))/(4*(C71/1000)*((E71/1000)^3))/1000000</f>
        <v>1.0609904816086464</v>
      </c>
    </row>
    <row r="72" spans="1:11" x14ac:dyDescent="0.25">
      <c r="A72" s="5">
        <v>5</v>
      </c>
      <c r="B72" s="6"/>
      <c r="C72" s="6">
        <v>74.16</v>
      </c>
      <c r="D72" s="6">
        <v>64.44</v>
      </c>
      <c r="E72" s="6">
        <v>16.21</v>
      </c>
      <c r="F72" s="6">
        <v>13.3</v>
      </c>
      <c r="G72" s="22">
        <f>(3*F72*$K$18/1000)/((2*(C72/1000)*((E72/1000)^2)))/1000</f>
        <v>44.534482095522634</v>
      </c>
      <c r="H72" s="6">
        <v>1.44</v>
      </c>
      <c r="I72" s="23">
        <f>(6*(E72/1000)*(H72/1000))/(($K$18/1000)^2)</f>
        <v>7.4014744351961953E-2</v>
      </c>
      <c r="J72" s="6">
        <v>3.7</v>
      </c>
      <c r="K72" s="22">
        <f>((($K$18/1000)^3)*(J72*1000))/(4*(C72/1000)*((E72/1000)^3))/1000000</f>
        <v>0.24104089871303394</v>
      </c>
    </row>
    <row r="73" spans="1:11" x14ac:dyDescent="0.25">
      <c r="A73" s="7" t="s">
        <v>4</v>
      </c>
      <c r="B73" s="9" t="e">
        <f t="shared" ref="B73:K73" si="8">AVERAGE(B68:B72)</f>
        <v>#DIV/0!</v>
      </c>
      <c r="C73" s="10">
        <f t="shared" si="8"/>
        <v>71.352000000000004</v>
      </c>
      <c r="D73" s="8">
        <f t="shared" si="8"/>
        <v>67.378</v>
      </c>
      <c r="E73" s="11">
        <f t="shared" si="8"/>
        <v>16.848000000000003</v>
      </c>
      <c r="F73" s="10">
        <f t="shared" si="8"/>
        <v>31.82</v>
      </c>
      <c r="G73" s="8">
        <f t="shared" si="8"/>
        <v>105.90966594209092</v>
      </c>
      <c r="H73" s="8">
        <f t="shared" si="8"/>
        <v>1.1199999999999999</v>
      </c>
      <c r="I73" s="28">
        <f t="shared" si="8"/>
        <v>5.9034736424891009E-2</v>
      </c>
      <c r="J73" s="8">
        <f t="shared" si="8"/>
        <v>8.98</v>
      </c>
      <c r="K73" s="11">
        <f t="shared" si="8"/>
        <v>0.55643826541681152</v>
      </c>
    </row>
    <row r="74" spans="1:11" ht="15.75" thickBot="1" x14ac:dyDescent="0.3">
      <c r="A74" s="15" t="s">
        <v>5</v>
      </c>
      <c r="B74" s="16" t="e">
        <f t="shared" ref="B74:K74" si="9">STDEV(B68:B72)</f>
        <v>#DIV/0!</v>
      </c>
      <c r="C74" s="12">
        <f t="shared" si="9"/>
        <v>4.0469581169070681</v>
      </c>
      <c r="D74" s="13">
        <f t="shared" si="9"/>
        <v>8.7826971939148546</v>
      </c>
      <c r="E74" s="14">
        <f t="shared" si="9"/>
        <v>1.3010649484172572</v>
      </c>
      <c r="F74" s="12">
        <f t="shared" si="9"/>
        <v>21.297582022379917</v>
      </c>
      <c r="G74" s="13">
        <f t="shared" si="9"/>
        <v>79.202171475696801</v>
      </c>
      <c r="H74" s="13">
        <f t="shared" si="9"/>
        <v>0.4686683262180199</v>
      </c>
      <c r="I74" s="29">
        <f t="shared" si="9"/>
        <v>2.3175588485129236E-2</v>
      </c>
      <c r="J74" s="13">
        <f t="shared" si="9"/>
        <v>4.7156123674449741</v>
      </c>
      <c r="K74" s="14">
        <f t="shared" si="9"/>
        <v>0.339809610346758</v>
      </c>
    </row>
    <row r="76" spans="1:11" ht="15.75" thickBot="1" x14ac:dyDescent="0.3"/>
    <row r="77" spans="1:11" x14ac:dyDescent="0.25">
      <c r="A77" s="52" t="s">
        <v>35</v>
      </c>
      <c r="B77" s="54" t="s">
        <v>9</v>
      </c>
      <c r="C77" s="52" t="s">
        <v>8</v>
      </c>
      <c r="D77" s="56"/>
      <c r="E77" s="57"/>
      <c r="F77" s="52" t="s">
        <v>0</v>
      </c>
      <c r="G77" s="56"/>
      <c r="H77" s="56"/>
      <c r="I77" s="56"/>
      <c r="J77" s="56"/>
      <c r="K77" s="57"/>
    </row>
    <row r="78" spans="1:11" x14ac:dyDescent="0.25">
      <c r="A78" s="53"/>
      <c r="B78" s="55"/>
      <c r="C78" s="53"/>
      <c r="D78" s="58"/>
      <c r="E78" s="59"/>
      <c r="F78" s="53" t="s">
        <v>15</v>
      </c>
      <c r="G78" s="58"/>
      <c r="H78" s="58"/>
      <c r="I78" s="58"/>
      <c r="J78" s="58"/>
      <c r="K78" s="20"/>
    </row>
    <row r="79" spans="1:11" x14ac:dyDescent="0.25">
      <c r="A79" s="53"/>
      <c r="B79" s="55"/>
      <c r="C79" s="60" t="s">
        <v>26</v>
      </c>
      <c r="D79" s="63" t="s">
        <v>6</v>
      </c>
      <c r="E79" s="66" t="s">
        <v>7</v>
      </c>
      <c r="F79" s="69" t="s">
        <v>27</v>
      </c>
      <c r="G79" s="70"/>
      <c r="H79" s="70"/>
      <c r="I79" s="70"/>
      <c r="J79" s="71"/>
      <c r="K79" s="21">
        <v>0.2</v>
      </c>
    </row>
    <row r="80" spans="1:11" ht="25.5" x14ac:dyDescent="0.25">
      <c r="A80" s="53"/>
      <c r="B80" s="55"/>
      <c r="C80" s="61"/>
      <c r="D80" s="64"/>
      <c r="E80" s="67"/>
      <c r="F80" s="17" t="s">
        <v>20</v>
      </c>
      <c r="G80" s="18" t="s">
        <v>19</v>
      </c>
      <c r="H80" s="18" t="s">
        <v>22</v>
      </c>
      <c r="I80" s="18" t="s">
        <v>21</v>
      </c>
      <c r="J80" s="18" t="s">
        <v>24</v>
      </c>
      <c r="K80" s="4" t="s">
        <v>13</v>
      </c>
    </row>
    <row r="81" spans="1:11" x14ac:dyDescent="0.25">
      <c r="A81" s="53"/>
      <c r="B81" s="55"/>
      <c r="C81" s="62"/>
      <c r="D81" s="65"/>
      <c r="E81" s="68"/>
      <c r="F81" s="1" t="s">
        <v>16</v>
      </c>
      <c r="G81" s="2" t="s">
        <v>17</v>
      </c>
      <c r="H81" s="2" t="s">
        <v>18</v>
      </c>
      <c r="I81" s="2" t="s">
        <v>23</v>
      </c>
      <c r="J81" s="2" t="s">
        <v>25</v>
      </c>
      <c r="K81" s="4" t="s">
        <v>28</v>
      </c>
    </row>
    <row r="82" spans="1:11" x14ac:dyDescent="0.25">
      <c r="A82" s="53"/>
      <c r="B82" s="3" t="s">
        <v>10</v>
      </c>
      <c r="C82" s="1" t="s">
        <v>1</v>
      </c>
      <c r="D82" s="2" t="s">
        <v>1</v>
      </c>
      <c r="E82" s="4" t="s">
        <v>1</v>
      </c>
      <c r="F82" s="1" t="s">
        <v>2</v>
      </c>
      <c r="G82" s="2" t="s">
        <v>11</v>
      </c>
      <c r="H82" s="2" t="s">
        <v>1</v>
      </c>
      <c r="I82" s="2" t="s">
        <v>12</v>
      </c>
      <c r="J82" s="2" t="s">
        <v>3</v>
      </c>
      <c r="K82" s="4" t="s">
        <v>14</v>
      </c>
    </row>
    <row r="83" spans="1:11" x14ac:dyDescent="0.25">
      <c r="A83" s="5">
        <v>1</v>
      </c>
      <c r="B83" s="6"/>
      <c r="C83" s="6">
        <v>68.03</v>
      </c>
      <c r="D83" s="6">
        <v>64.67</v>
      </c>
      <c r="E83" s="6">
        <v>18.89</v>
      </c>
      <c r="F83" s="6">
        <v>49.1</v>
      </c>
      <c r="G83" s="22">
        <f>(3*F83*$K$18/1000)/((2*(C83/1000)*((E83/1000)^2)))/1000</f>
        <v>131.97680831957601</v>
      </c>
      <c r="H83" s="6">
        <v>2.33</v>
      </c>
      <c r="I83" s="23">
        <f>(6*(E83/1000)*(H83/1000))/(($K$18/1000)^2)</f>
        <v>0.13955988902100674</v>
      </c>
      <c r="J83" s="6">
        <v>8.1999999999999993</v>
      </c>
      <c r="K83" s="22">
        <f>((($K$18/1000)^3)*(J83*1000))/(4*(C83/1000)*((E83/1000)^3))/1000000</f>
        <v>0.36798090841612485</v>
      </c>
    </row>
    <row r="84" spans="1:11" x14ac:dyDescent="0.25">
      <c r="A84" s="5">
        <v>2</v>
      </c>
      <c r="B84" s="6"/>
      <c r="C84" s="6">
        <v>68.55</v>
      </c>
      <c r="D84" s="6">
        <v>64.52</v>
      </c>
      <c r="E84" s="6">
        <v>20.02</v>
      </c>
      <c r="F84" s="6">
        <v>82.8</v>
      </c>
      <c r="G84" s="22">
        <f>(3*F84*$K$18/1000)/((2*(C84/1000)*((E84/1000)^2)))/1000</f>
        <v>196.64153123691398</v>
      </c>
      <c r="H84" s="6">
        <v>2.3199999999999998</v>
      </c>
      <c r="I84" s="23">
        <f>(6*(E84/1000)*(H84/1000))/(($K$18/1000)^2)</f>
        <v>0.14727356321839083</v>
      </c>
      <c r="J84" s="6">
        <v>20.9</v>
      </c>
      <c r="K84" s="22">
        <f>((($K$18/1000)^3)*(J84*1000))/(4*(C84/1000)*((E84/1000)^3))/1000000</f>
        <v>0.78190571439387424</v>
      </c>
    </row>
    <row r="85" spans="1:11" x14ac:dyDescent="0.25">
      <c r="A85" s="5">
        <v>3</v>
      </c>
      <c r="B85" s="6"/>
      <c r="C85" s="6">
        <v>65.92</v>
      </c>
      <c r="D85" s="6">
        <v>65.400000000000006</v>
      </c>
      <c r="E85" s="6">
        <v>18.87</v>
      </c>
      <c r="F85" s="6">
        <v>76.540000000000006</v>
      </c>
      <c r="G85" s="22">
        <f>(3*F85*$K$18/1000)/((2*(C85/1000)*((E85/1000)^2)))/1000</f>
        <v>212.76881503072934</v>
      </c>
      <c r="H85" s="6">
        <v>2.09</v>
      </c>
      <c r="I85" s="23">
        <f>(6*(E85/1000)*(H85/1000))/(($K$18/1000)^2)</f>
        <v>0.12505208085612368</v>
      </c>
      <c r="J85" s="6">
        <v>13.9</v>
      </c>
      <c r="K85" s="22">
        <f>((($K$18/1000)^3)*(J85*1000))/(4*(C85/1000)*((E85/1000)^3))/1000000</f>
        <v>0.64578756860916942</v>
      </c>
    </row>
    <row r="86" spans="1:11" x14ac:dyDescent="0.25">
      <c r="A86" s="5">
        <v>4</v>
      </c>
      <c r="B86" s="6"/>
      <c r="C86" s="6">
        <v>66.55</v>
      </c>
      <c r="D86" s="6">
        <v>64.06</v>
      </c>
      <c r="E86" s="6">
        <v>18.37</v>
      </c>
      <c r="F86" s="6">
        <v>44.9</v>
      </c>
      <c r="G86" s="22">
        <f>(3*F86*$K$18/1000)/((2*(C86/1000)*((E86/1000)^2)))/1000</f>
        <v>130.45492654447872</v>
      </c>
      <c r="H86" s="6">
        <v>1.88</v>
      </c>
      <c r="I86" s="23">
        <f>(6*(E86/1000)*(H86/1000))/(($K$18/1000)^2)</f>
        <v>0.10950646056282207</v>
      </c>
      <c r="J86" s="6">
        <v>4.3</v>
      </c>
      <c r="K86" s="22">
        <f>((($K$18/1000)^3)*(J86*1000))/(4*(C86/1000)*((E86/1000)^3))/1000000</f>
        <v>0.21448686741546183</v>
      </c>
    </row>
    <row r="87" spans="1:11" x14ac:dyDescent="0.25">
      <c r="A87" s="5">
        <v>5</v>
      </c>
      <c r="B87" s="6"/>
      <c r="C87" s="6">
        <v>67.45</v>
      </c>
      <c r="D87" s="6">
        <v>64.17</v>
      </c>
      <c r="E87" s="6">
        <v>18.52</v>
      </c>
      <c r="F87" s="6">
        <v>57</v>
      </c>
      <c r="G87" s="22">
        <f>(3*F87*$K$18/1000)/((2*(C87/1000)*((E87/1000)^2)))/1000</f>
        <v>160.76498079952836</v>
      </c>
      <c r="H87" s="6">
        <v>1.4</v>
      </c>
      <c r="I87" s="23">
        <f>(6*(E87/1000)*(H87/1000))/(($K$18/1000)^2)</f>
        <v>8.2213238208481976E-2</v>
      </c>
      <c r="J87" s="6">
        <v>12.8</v>
      </c>
      <c r="K87" s="22">
        <f>((($K$18/1000)^3)*(J87*1000))/(4*(C87/1000)*((E87/1000)^3))/1000000</f>
        <v>0.61477025737139179</v>
      </c>
    </row>
    <row r="88" spans="1:11" x14ac:dyDescent="0.25">
      <c r="A88" s="7" t="s">
        <v>4</v>
      </c>
      <c r="B88" s="9" t="e">
        <f t="shared" ref="B88:K88" si="10">AVERAGE(B83:B87)</f>
        <v>#DIV/0!</v>
      </c>
      <c r="C88" s="10">
        <f t="shared" si="10"/>
        <v>67.3</v>
      </c>
      <c r="D88" s="8">
        <f t="shared" si="10"/>
        <v>64.563999999999993</v>
      </c>
      <c r="E88" s="11">
        <f t="shared" si="10"/>
        <v>18.934000000000001</v>
      </c>
      <c r="F88" s="10">
        <f t="shared" si="10"/>
        <v>62.068000000000005</v>
      </c>
      <c r="G88" s="8">
        <f t="shared" si="10"/>
        <v>166.52141238624526</v>
      </c>
      <c r="H88" s="8">
        <f t="shared" si="10"/>
        <v>2.0040000000000004</v>
      </c>
      <c r="I88" s="28">
        <f>AVERAGE(I83:I87)</f>
        <v>0.12072104637336505</v>
      </c>
      <c r="J88" s="8">
        <f t="shared" si="10"/>
        <v>12.02</v>
      </c>
      <c r="K88" s="11">
        <f t="shared" si="10"/>
        <v>0.52498626324120434</v>
      </c>
    </row>
    <row r="89" spans="1:11" ht="15.75" thickBot="1" x14ac:dyDescent="0.3">
      <c r="A89" s="15" t="s">
        <v>5</v>
      </c>
      <c r="B89" s="16" t="e">
        <f t="shared" ref="B89:K89" si="11">STDEV(B83:B87)</f>
        <v>#DIV/0!</v>
      </c>
      <c r="C89" s="12">
        <f t="shared" si="11"/>
        <v>1.0706073042904194</v>
      </c>
      <c r="D89" s="13">
        <f t="shared" si="11"/>
        <v>0.52946199108151437</v>
      </c>
      <c r="E89" s="14">
        <f t="shared" si="11"/>
        <v>0.64709350174453117</v>
      </c>
      <c r="F89" s="12">
        <f t="shared" si="11"/>
        <v>16.791727725281824</v>
      </c>
      <c r="G89" s="13">
        <f t="shared" si="11"/>
        <v>37.327273496229644</v>
      </c>
      <c r="H89" s="13">
        <f t="shared" si="11"/>
        <v>0.38526614177734136</v>
      </c>
      <c r="I89" s="29">
        <f t="shared" si="11"/>
        <v>2.5919655800976205E-2</v>
      </c>
      <c r="J89" s="13">
        <f t="shared" si="11"/>
        <v>6.2687319291863206</v>
      </c>
      <c r="K89" s="14">
        <f t="shared" si="11"/>
        <v>0.22897722682237623</v>
      </c>
    </row>
    <row r="91" spans="1:11" ht="15.75" thickBot="1" x14ac:dyDescent="0.3"/>
    <row r="92" spans="1:11" x14ac:dyDescent="0.25">
      <c r="A92" s="52" t="s">
        <v>36</v>
      </c>
      <c r="B92" s="54" t="s">
        <v>9</v>
      </c>
      <c r="C92" s="52" t="s">
        <v>8</v>
      </c>
      <c r="D92" s="56"/>
      <c r="E92" s="57"/>
      <c r="F92" s="52" t="s">
        <v>0</v>
      </c>
      <c r="G92" s="56"/>
      <c r="H92" s="56"/>
      <c r="I92" s="56"/>
      <c r="J92" s="56"/>
      <c r="K92" s="57"/>
    </row>
    <row r="93" spans="1:11" x14ac:dyDescent="0.25">
      <c r="A93" s="53"/>
      <c r="B93" s="55"/>
      <c r="C93" s="53"/>
      <c r="D93" s="58"/>
      <c r="E93" s="59"/>
      <c r="F93" s="53" t="s">
        <v>15</v>
      </c>
      <c r="G93" s="58"/>
      <c r="H93" s="58"/>
      <c r="I93" s="58"/>
      <c r="J93" s="58"/>
      <c r="K93" s="20"/>
    </row>
    <row r="94" spans="1:11" x14ac:dyDescent="0.25">
      <c r="A94" s="53"/>
      <c r="B94" s="55"/>
      <c r="C94" s="60" t="s">
        <v>26</v>
      </c>
      <c r="D94" s="63" t="s">
        <v>6</v>
      </c>
      <c r="E94" s="66" t="s">
        <v>7</v>
      </c>
      <c r="F94" s="69" t="s">
        <v>27</v>
      </c>
      <c r="G94" s="70"/>
      <c r="H94" s="70"/>
      <c r="I94" s="70"/>
      <c r="J94" s="71"/>
      <c r="K94" s="21">
        <v>0.2</v>
      </c>
    </row>
    <row r="95" spans="1:11" ht="25.5" x14ac:dyDescent="0.25">
      <c r="A95" s="53"/>
      <c r="B95" s="55"/>
      <c r="C95" s="61"/>
      <c r="D95" s="64"/>
      <c r="E95" s="67"/>
      <c r="F95" s="17" t="s">
        <v>20</v>
      </c>
      <c r="G95" s="18" t="s">
        <v>19</v>
      </c>
      <c r="H95" s="18" t="s">
        <v>22</v>
      </c>
      <c r="I95" s="18" t="s">
        <v>21</v>
      </c>
      <c r="J95" s="18" t="s">
        <v>24</v>
      </c>
      <c r="K95" s="4" t="s">
        <v>13</v>
      </c>
    </row>
    <row r="96" spans="1:11" x14ac:dyDescent="0.25">
      <c r="A96" s="53"/>
      <c r="B96" s="55"/>
      <c r="C96" s="62"/>
      <c r="D96" s="65"/>
      <c r="E96" s="68"/>
      <c r="F96" s="1" t="s">
        <v>16</v>
      </c>
      <c r="G96" s="2" t="s">
        <v>17</v>
      </c>
      <c r="H96" s="2" t="s">
        <v>18</v>
      </c>
      <c r="I96" s="2" t="s">
        <v>23</v>
      </c>
      <c r="J96" s="2" t="s">
        <v>25</v>
      </c>
      <c r="K96" s="4" t="s">
        <v>28</v>
      </c>
    </row>
    <row r="97" spans="1:11" x14ac:dyDescent="0.25">
      <c r="A97" s="53"/>
      <c r="B97" s="3" t="s">
        <v>10</v>
      </c>
      <c r="C97" s="1" t="s">
        <v>1</v>
      </c>
      <c r="D97" s="2" t="s">
        <v>1</v>
      </c>
      <c r="E97" s="4" t="s">
        <v>1</v>
      </c>
      <c r="F97" s="1" t="s">
        <v>2</v>
      </c>
      <c r="G97" s="2" t="s">
        <v>11</v>
      </c>
      <c r="H97" s="2" t="s">
        <v>1</v>
      </c>
      <c r="I97" s="2" t="s">
        <v>12</v>
      </c>
      <c r="J97" s="2" t="s">
        <v>3</v>
      </c>
      <c r="K97" s="4" t="s">
        <v>14</v>
      </c>
    </row>
    <row r="98" spans="1:11" x14ac:dyDescent="0.25">
      <c r="A98" s="5">
        <v>1</v>
      </c>
      <c r="B98" s="6"/>
      <c r="C98" s="6">
        <v>66.98</v>
      </c>
      <c r="D98" s="6">
        <v>65.75</v>
      </c>
      <c r="E98" s="6">
        <v>17.68</v>
      </c>
      <c r="F98" s="6">
        <v>39.9</v>
      </c>
      <c r="G98" s="22">
        <f>(3*F98*$K$18/1000)/((2*(C98/1000)*((E98/1000)^2)))/1000</f>
        <v>124.3494151890814</v>
      </c>
      <c r="H98" s="6">
        <v>1.6</v>
      </c>
      <c r="I98" s="23">
        <f>(6*(E98/1000)*(H98/1000))/(($K$18/1000)^2)</f>
        <v>8.9696393182719006E-2</v>
      </c>
      <c r="J98" s="6">
        <v>39.299999999999997</v>
      </c>
      <c r="K98" s="22">
        <f>((($K$18/1000)^3)*(J98*1000))/(4*(C98/1000)*((E98/1000)^3))/1000000</f>
        <v>2.184783487054148</v>
      </c>
    </row>
    <row r="99" spans="1:11" x14ac:dyDescent="0.25">
      <c r="A99" s="5">
        <v>2</v>
      </c>
      <c r="B99" s="6"/>
      <c r="C99" s="6">
        <v>63.34</v>
      </c>
      <c r="D99" s="6">
        <v>62.78</v>
      </c>
      <c r="E99" s="6">
        <v>19.420000000000002</v>
      </c>
      <c r="F99" s="6">
        <v>40.5</v>
      </c>
      <c r="G99" s="22">
        <f>(3*F99*$K$18/1000)/((2*(C99/1000)*((E99/1000)^2)))/1000</f>
        <v>110.62646348246174</v>
      </c>
      <c r="H99" s="6">
        <v>2.16</v>
      </c>
      <c r="I99" s="23">
        <f>(6*(E99/1000)*(H99/1000))/(($K$18/1000)^2)</f>
        <v>0.13300737217598099</v>
      </c>
      <c r="J99" s="6">
        <v>19.899999999999999</v>
      </c>
      <c r="K99" s="22">
        <f>((($K$18/1000)^3)*(J99*1000))/(4*(C99/1000)*((E99/1000)^3))/1000000</f>
        <v>0.88274470295806673</v>
      </c>
    </row>
    <row r="100" spans="1:11" x14ac:dyDescent="0.25">
      <c r="A100" s="5">
        <v>3</v>
      </c>
      <c r="B100" s="6"/>
      <c r="C100" s="6">
        <v>67.47</v>
      </c>
      <c r="D100" s="6">
        <v>65.88</v>
      </c>
      <c r="E100" s="6">
        <v>18.260000000000002</v>
      </c>
      <c r="F100" s="6">
        <v>31.7</v>
      </c>
      <c r="G100" s="22">
        <f>(3*F100*$K$18/1000)/((2*(C100/1000)*((E100/1000)^2)))/1000</f>
        <v>91.94487393451567</v>
      </c>
      <c r="H100" s="6">
        <v>1.3</v>
      </c>
      <c r="I100" s="23">
        <f>(6*(E100/1000)*(H100/1000))/(($K$18/1000)^2)</f>
        <v>7.5269124058660347E-2</v>
      </c>
      <c r="J100" s="6">
        <v>24.9</v>
      </c>
      <c r="K100" s="22">
        <f>((($K$18/1000)^3)*(J100*1000))/(4*(C100/1000)*((E100/1000)^3))/1000000</f>
        <v>1.2473665593818988</v>
      </c>
    </row>
    <row r="101" spans="1:11" x14ac:dyDescent="0.25">
      <c r="A101" s="5">
        <v>4</v>
      </c>
      <c r="B101" s="6"/>
      <c r="C101" s="6">
        <v>71.05</v>
      </c>
      <c r="D101" s="6">
        <v>69.989999999999995</v>
      </c>
      <c r="E101" s="6">
        <v>18.190000000000001</v>
      </c>
      <c r="F101" s="6">
        <v>30.3</v>
      </c>
      <c r="G101" s="22">
        <f>(3*F101*$K$18/1000)/((2*(C101/1000)*((E101/1000)^2)))/1000</f>
        <v>84.099548478251805</v>
      </c>
      <c r="H101" s="6">
        <v>1.51</v>
      </c>
      <c r="I101" s="23">
        <f>(6*(E101/1000)*(H101/1000))/(($K$18/1000)^2)</f>
        <v>8.7092826000792739E-2</v>
      </c>
      <c r="J101" s="6">
        <v>27.1</v>
      </c>
      <c r="K101" s="22">
        <f>((($K$18/1000)^3)*(J101*1000))/(4*(C101/1000)*((E101/1000)^3))/1000000</f>
        <v>1.3041119993867565</v>
      </c>
    </row>
    <row r="102" spans="1:11" x14ac:dyDescent="0.25">
      <c r="A102" s="5">
        <v>5</v>
      </c>
      <c r="B102" s="6"/>
      <c r="C102" s="6">
        <v>71.180000000000007</v>
      </c>
      <c r="D102" s="6">
        <v>66.03</v>
      </c>
      <c r="E102" s="6">
        <v>19.5</v>
      </c>
      <c r="F102" s="6">
        <v>35.200000000000003</v>
      </c>
      <c r="G102" s="22">
        <f>(3*F102*$K$18/1000)/((2*(C102/1000)*((E102/1000)^2)))/1000</f>
        <v>84.85862161267957</v>
      </c>
      <c r="H102" s="6">
        <v>2.48</v>
      </c>
      <c r="I102" s="23">
        <f>(6*(E102/1000)*(H102/1000))/(($K$18/1000)^2)</f>
        <v>0.15334126040428062</v>
      </c>
      <c r="J102" s="6">
        <v>19.100000000000001</v>
      </c>
      <c r="K102" s="22">
        <f>((($K$18/1000)^3)*(J102*1000))/(4*(C102/1000)*((E102/1000)^3))/1000000</f>
        <v>0.74469652798657826</v>
      </c>
    </row>
    <row r="103" spans="1:11" x14ac:dyDescent="0.25">
      <c r="A103" s="7" t="s">
        <v>4</v>
      </c>
      <c r="B103" s="9" t="e">
        <f t="shared" ref="B103:K103" si="12">AVERAGE(B98:B102)</f>
        <v>#DIV/0!</v>
      </c>
      <c r="C103" s="10">
        <f t="shared" si="12"/>
        <v>68.003999999999991</v>
      </c>
      <c r="D103" s="8">
        <f t="shared" si="12"/>
        <v>66.085999999999984</v>
      </c>
      <c r="E103" s="11">
        <f t="shared" si="12"/>
        <v>18.61</v>
      </c>
      <c r="F103" s="10">
        <f t="shared" si="12"/>
        <v>35.520000000000003</v>
      </c>
      <c r="G103" s="8">
        <f t="shared" si="12"/>
        <v>99.175784539398052</v>
      </c>
      <c r="H103" s="8">
        <f t="shared" si="12"/>
        <v>1.81</v>
      </c>
      <c r="I103" s="28">
        <f t="shared" si="12"/>
        <v>0.10768139516448674</v>
      </c>
      <c r="J103" s="8">
        <f t="shared" si="12"/>
        <v>26.059999999999995</v>
      </c>
      <c r="K103" s="11">
        <f t="shared" si="12"/>
        <v>1.2727406553534897</v>
      </c>
    </row>
    <row r="104" spans="1:11" ht="15.75" thickBot="1" x14ac:dyDescent="0.3">
      <c r="A104" s="15" t="s">
        <v>5</v>
      </c>
      <c r="B104" s="16" t="e">
        <f t="shared" ref="B104:K104" si="13">STDEV(B98:B102)</f>
        <v>#DIV/0!</v>
      </c>
      <c r="C104" s="12">
        <f t="shared" si="13"/>
        <v>3.2577492230065834</v>
      </c>
      <c r="D104" s="13">
        <f t="shared" si="13"/>
        <v>2.565605191762752</v>
      </c>
      <c r="E104" s="14">
        <f t="shared" si="13"/>
        <v>0.808084154033477</v>
      </c>
      <c r="F104" s="12">
        <f t="shared" si="13"/>
        <v>4.6348678514063097</v>
      </c>
      <c r="G104" s="13">
        <f t="shared" si="13"/>
        <v>17.673354552554578</v>
      </c>
      <c r="H104" s="13">
        <f t="shared" si="13"/>
        <v>0.49132473986152947</v>
      </c>
      <c r="I104" s="29">
        <f t="shared" si="13"/>
        <v>3.3630838526688779E-2</v>
      </c>
      <c r="J104" s="13">
        <f t="shared" si="13"/>
        <v>8.1257615027762249</v>
      </c>
      <c r="K104" s="14">
        <f t="shared" si="13"/>
        <v>0.56222272636404524</v>
      </c>
    </row>
    <row r="106" spans="1:11" ht="15.75" thickBot="1" x14ac:dyDescent="0.3"/>
    <row r="107" spans="1:11" x14ac:dyDescent="0.25">
      <c r="A107" s="52" t="s">
        <v>37</v>
      </c>
      <c r="B107" s="54" t="s">
        <v>9</v>
      </c>
      <c r="C107" s="52" t="s">
        <v>8</v>
      </c>
      <c r="D107" s="56"/>
      <c r="E107" s="57"/>
      <c r="F107" s="52" t="s">
        <v>0</v>
      </c>
      <c r="G107" s="56"/>
      <c r="H107" s="56"/>
      <c r="I107" s="56"/>
      <c r="J107" s="56"/>
      <c r="K107" s="57"/>
    </row>
    <row r="108" spans="1:11" x14ac:dyDescent="0.25">
      <c r="A108" s="53"/>
      <c r="B108" s="55"/>
      <c r="C108" s="53"/>
      <c r="D108" s="58"/>
      <c r="E108" s="59"/>
      <c r="F108" s="53" t="s">
        <v>15</v>
      </c>
      <c r="G108" s="58"/>
      <c r="H108" s="58"/>
      <c r="I108" s="58"/>
      <c r="J108" s="58"/>
      <c r="K108" s="20">
        <v>43.5</v>
      </c>
    </row>
    <row r="109" spans="1:11" x14ac:dyDescent="0.25">
      <c r="A109" s="53"/>
      <c r="B109" s="55"/>
      <c r="C109" s="60" t="s">
        <v>26</v>
      </c>
      <c r="D109" s="63" t="s">
        <v>6</v>
      </c>
      <c r="E109" s="66" t="s">
        <v>7</v>
      </c>
      <c r="F109" s="69" t="s">
        <v>27</v>
      </c>
      <c r="G109" s="70"/>
      <c r="H109" s="70"/>
      <c r="I109" s="70"/>
      <c r="J109" s="71"/>
      <c r="K109" s="21">
        <v>0.2</v>
      </c>
    </row>
    <row r="110" spans="1:11" ht="25.5" x14ac:dyDescent="0.25">
      <c r="A110" s="53"/>
      <c r="B110" s="55"/>
      <c r="C110" s="61"/>
      <c r="D110" s="64"/>
      <c r="E110" s="67"/>
      <c r="F110" s="17" t="s">
        <v>20</v>
      </c>
      <c r="G110" s="18" t="s">
        <v>19</v>
      </c>
      <c r="H110" s="18" t="s">
        <v>22</v>
      </c>
      <c r="I110" s="18" t="s">
        <v>21</v>
      </c>
      <c r="J110" s="18" t="s">
        <v>24</v>
      </c>
      <c r="K110" s="4" t="s">
        <v>13</v>
      </c>
    </row>
    <row r="111" spans="1:11" x14ac:dyDescent="0.25">
      <c r="A111" s="53"/>
      <c r="B111" s="55"/>
      <c r="C111" s="62"/>
      <c r="D111" s="65"/>
      <c r="E111" s="68"/>
      <c r="F111" s="1" t="s">
        <v>16</v>
      </c>
      <c r="G111" s="2" t="s">
        <v>17</v>
      </c>
      <c r="H111" s="2" t="s">
        <v>18</v>
      </c>
      <c r="I111" s="2" t="s">
        <v>23</v>
      </c>
      <c r="J111" s="2" t="s">
        <v>25</v>
      </c>
      <c r="K111" s="4" t="s">
        <v>28</v>
      </c>
    </row>
    <row r="112" spans="1:11" x14ac:dyDescent="0.25">
      <c r="A112" s="53"/>
      <c r="B112" s="3" t="s">
        <v>10</v>
      </c>
      <c r="C112" s="1" t="s">
        <v>1</v>
      </c>
      <c r="D112" s="2" t="s">
        <v>1</v>
      </c>
      <c r="E112" s="4" t="s">
        <v>1</v>
      </c>
      <c r="F112" s="1" t="s">
        <v>2</v>
      </c>
      <c r="G112" s="2" t="s">
        <v>11</v>
      </c>
      <c r="H112" s="2" t="s">
        <v>1</v>
      </c>
      <c r="I112" s="2" t="s">
        <v>12</v>
      </c>
      <c r="J112" s="2" t="s">
        <v>3</v>
      </c>
      <c r="K112" s="4" t="s">
        <v>14</v>
      </c>
    </row>
    <row r="113" spans="1:11" x14ac:dyDescent="0.25">
      <c r="A113" s="5">
        <v>1</v>
      </c>
      <c r="B113" s="6"/>
      <c r="C113" s="6">
        <v>73.430000000000007</v>
      </c>
      <c r="D113" s="6">
        <v>63.41</v>
      </c>
      <c r="E113" s="6">
        <v>11.08</v>
      </c>
      <c r="F113" s="6">
        <v>46.1</v>
      </c>
      <c r="G113" s="22">
        <f>(3*F113*$K$18/1000)/((2*(C113/1000)*((E113/1000)^2)))/1000</f>
        <v>333.67862897745101</v>
      </c>
      <c r="H113" s="6">
        <v>1.3</v>
      </c>
      <c r="I113" s="23">
        <f>(6*(E113/1000)*(H113/1000))/(($K$18/1000)^2)</f>
        <v>4.5672611969877132E-2</v>
      </c>
      <c r="J113" s="6">
        <v>35.200000000000003</v>
      </c>
      <c r="K113" s="22">
        <f>((($K$18/1000)^3)*(J113*1000))/(4*(C113/1000)*((E113/1000)^3))/1000000</f>
        <v>7.2519972983008207</v>
      </c>
    </row>
    <row r="114" spans="1:11" x14ac:dyDescent="0.25">
      <c r="A114" s="5">
        <v>2</v>
      </c>
      <c r="B114" s="6"/>
      <c r="C114" s="6">
        <v>69.319999999999993</v>
      </c>
      <c r="D114" s="6">
        <v>68.53</v>
      </c>
      <c r="E114" s="6">
        <v>11.71</v>
      </c>
      <c r="F114" s="6">
        <v>48.3</v>
      </c>
      <c r="G114" s="22">
        <f>(3*F114*$K$18/1000)/((2*(C114/1000)*((E114/1000)^2)))/1000</f>
        <v>331.55478694083553</v>
      </c>
      <c r="H114" s="6">
        <v>1.66</v>
      </c>
      <c r="I114" s="23">
        <f>(6*(E114/1000)*(H114/1000))/(($K$18/1000)^2)</f>
        <v>6.1636464526357529E-2</v>
      </c>
      <c r="J114" s="6">
        <v>38.200000000000003</v>
      </c>
      <c r="K114" s="22">
        <f>((($K$18/1000)^3)*(J114*1000))/(4*(C114/1000)*((E114/1000)^3))/1000000</f>
        <v>7.0622307446909716</v>
      </c>
    </row>
    <row r="115" spans="1:11" x14ac:dyDescent="0.25">
      <c r="A115" s="5">
        <v>3</v>
      </c>
      <c r="B115" s="6"/>
      <c r="C115" s="6">
        <v>68.27</v>
      </c>
      <c r="D115" s="6">
        <v>66.52</v>
      </c>
      <c r="E115" s="6">
        <v>11.04</v>
      </c>
      <c r="F115" s="6">
        <v>81.3</v>
      </c>
      <c r="G115" s="22">
        <f>(3*F115*$K$18/1000)/((2*(C115/1000)*((E115/1000)^2)))/1000</f>
        <v>637.53350251129541</v>
      </c>
      <c r="H115" s="6">
        <v>1.62</v>
      </c>
      <c r="I115" s="23">
        <f>(6*(E115/1000)*(H115/1000))/(($K$18/1000)^2)</f>
        <v>5.6709631391200957E-2</v>
      </c>
      <c r="J115" s="6">
        <v>88.4</v>
      </c>
      <c r="K115" s="22">
        <f>((($K$18/1000)^3)*(J115*1000))/(4*(C115/1000)*((E115/1000)^3))/1000000</f>
        <v>19.802632211323441</v>
      </c>
    </row>
    <row r="116" spans="1:11" x14ac:dyDescent="0.25">
      <c r="A116" s="5">
        <v>4</v>
      </c>
      <c r="B116" s="6"/>
      <c r="C116" s="6">
        <v>68.680000000000007</v>
      </c>
      <c r="D116" s="6">
        <v>63.65</v>
      </c>
      <c r="E116" s="6">
        <v>11.79</v>
      </c>
      <c r="F116" s="6">
        <v>61.4</v>
      </c>
      <c r="G116" s="22">
        <f>(3*F116*$K$18/1000)/((2*(C116/1000)*((E116/1000)^2)))/1000</f>
        <v>419.6536361492885</v>
      </c>
      <c r="H116" s="6">
        <v>1.1399999999999999</v>
      </c>
      <c r="I116" s="23">
        <f>(6*(E116/1000)*(H116/1000))/(($K$18/1000)^2)</f>
        <v>4.2617835909631391E-2</v>
      </c>
      <c r="J116" s="6">
        <v>81.599999999999994</v>
      </c>
      <c r="K116" s="22">
        <f>((($K$18/1000)^3)*(J116*1000))/(4*(C116/1000)*((E116/1000)^3))/1000000</f>
        <v>14.918537026696114</v>
      </c>
    </row>
    <row r="117" spans="1:11" x14ac:dyDescent="0.25">
      <c r="A117" s="5">
        <v>5</v>
      </c>
      <c r="B117" s="6"/>
      <c r="C117" s="6">
        <v>67.5</v>
      </c>
      <c r="D117" s="6">
        <v>65.5</v>
      </c>
      <c r="E117" s="6">
        <v>12.15</v>
      </c>
      <c r="F117" s="6">
        <v>52.4</v>
      </c>
      <c r="G117" s="22">
        <f>(3*F117*$K$18/1000)/((2*(C117/1000)*((E117/1000)^2)))/1000</f>
        <v>343.12745911587535</v>
      </c>
      <c r="H117" s="6">
        <v>1.42</v>
      </c>
      <c r="I117" s="23">
        <f>(6*(E117/1000)*(H117/1000))/(($K$18/1000)^2)</f>
        <v>5.4706302021403093E-2</v>
      </c>
      <c r="J117" s="6">
        <v>62.8</v>
      </c>
      <c r="K117" s="22">
        <f>((($K$18/1000)^3)*(J117*1000))/(4*(C117/1000)*((E117/1000)^3))/1000000</f>
        <v>10.67418723948799</v>
      </c>
    </row>
    <row r="118" spans="1:11" x14ac:dyDescent="0.25">
      <c r="A118" s="7" t="s">
        <v>4</v>
      </c>
      <c r="B118" s="9" t="e">
        <f t="shared" ref="B118:K118" si="14">AVERAGE(B113:B117)</f>
        <v>#DIV/0!</v>
      </c>
      <c r="C118" s="10">
        <f t="shared" si="14"/>
        <v>69.44</v>
      </c>
      <c r="D118" s="8">
        <f t="shared" si="14"/>
        <v>65.521999999999991</v>
      </c>
      <c r="E118" s="11">
        <f t="shared" si="14"/>
        <v>11.553999999999998</v>
      </c>
      <c r="F118" s="10">
        <f t="shared" si="14"/>
        <v>57.9</v>
      </c>
      <c r="G118" s="8">
        <f t="shared" si="14"/>
        <v>413.10960273894915</v>
      </c>
      <c r="H118" s="8">
        <f t="shared" si="14"/>
        <v>1.4279999999999999</v>
      </c>
      <c r="I118" s="28">
        <f t="shared" si="14"/>
        <v>5.2268569163694024E-2</v>
      </c>
      <c r="J118" s="8">
        <f t="shared" si="14"/>
        <v>61.239999999999995</v>
      </c>
      <c r="K118" s="11">
        <f t="shared" si="14"/>
        <v>11.941916904099868</v>
      </c>
    </row>
    <row r="119" spans="1:11" ht="15.75" thickBot="1" x14ac:dyDescent="0.3">
      <c r="A119" s="15" t="s">
        <v>5</v>
      </c>
      <c r="B119" s="16" t="e">
        <f t="shared" ref="B119:K119" si="15">STDEV(B113:B117)</f>
        <v>#DIV/0!</v>
      </c>
      <c r="C119" s="12">
        <f t="shared" si="15"/>
        <v>2.3261878685953148</v>
      </c>
      <c r="D119" s="13">
        <f t="shared" si="15"/>
        <v>2.1218788843852527</v>
      </c>
      <c r="E119" s="14">
        <f t="shared" si="15"/>
        <v>0.48065580200388747</v>
      </c>
      <c r="F119" s="12">
        <f t="shared" si="15"/>
        <v>14.330561747538015</v>
      </c>
      <c r="G119" s="13">
        <f t="shared" si="15"/>
        <v>130.63965626959174</v>
      </c>
      <c r="H119" s="13">
        <f t="shared" si="15"/>
        <v>0.21799082549501941</v>
      </c>
      <c r="I119" s="29">
        <f t="shared" si="15"/>
        <v>7.9067430457124086E-3</v>
      </c>
      <c r="J119" s="13">
        <f t="shared" si="15"/>
        <v>24.308187920945503</v>
      </c>
      <c r="K119" s="14">
        <f t="shared" si="15"/>
        <v>5.4328844530595761</v>
      </c>
    </row>
    <row r="121" spans="1:11" ht="15.75" thickBot="1" x14ac:dyDescent="0.3"/>
    <row r="122" spans="1:11" x14ac:dyDescent="0.25">
      <c r="A122" s="52" t="s">
        <v>38</v>
      </c>
      <c r="B122" s="54" t="s">
        <v>9</v>
      </c>
      <c r="C122" s="52" t="s">
        <v>8</v>
      </c>
      <c r="D122" s="56"/>
      <c r="E122" s="57"/>
      <c r="F122" s="52" t="s">
        <v>0</v>
      </c>
      <c r="G122" s="56"/>
      <c r="H122" s="56"/>
      <c r="I122" s="56"/>
      <c r="J122" s="56"/>
      <c r="K122" s="57"/>
    </row>
    <row r="123" spans="1:11" x14ac:dyDescent="0.25">
      <c r="A123" s="53"/>
      <c r="B123" s="55"/>
      <c r="C123" s="53"/>
      <c r="D123" s="58"/>
      <c r="E123" s="59"/>
      <c r="F123" s="53" t="s">
        <v>15</v>
      </c>
      <c r="G123" s="58"/>
      <c r="H123" s="58"/>
      <c r="I123" s="58"/>
      <c r="J123" s="58"/>
      <c r="K123" s="20">
        <v>43.5</v>
      </c>
    </row>
    <row r="124" spans="1:11" x14ac:dyDescent="0.25">
      <c r="A124" s="53"/>
      <c r="B124" s="55"/>
      <c r="C124" s="60" t="s">
        <v>26</v>
      </c>
      <c r="D124" s="63" t="s">
        <v>6</v>
      </c>
      <c r="E124" s="66" t="s">
        <v>7</v>
      </c>
      <c r="F124" s="69" t="s">
        <v>27</v>
      </c>
      <c r="G124" s="70"/>
      <c r="H124" s="70"/>
      <c r="I124" s="70"/>
      <c r="J124" s="71"/>
      <c r="K124" s="21">
        <v>0.2</v>
      </c>
    </row>
    <row r="125" spans="1:11" ht="25.5" x14ac:dyDescent="0.25">
      <c r="A125" s="53"/>
      <c r="B125" s="55"/>
      <c r="C125" s="61"/>
      <c r="D125" s="64"/>
      <c r="E125" s="67"/>
      <c r="F125" s="17" t="s">
        <v>20</v>
      </c>
      <c r="G125" s="18" t="s">
        <v>19</v>
      </c>
      <c r="H125" s="18" t="s">
        <v>22</v>
      </c>
      <c r="I125" s="18" t="s">
        <v>21</v>
      </c>
      <c r="J125" s="18" t="s">
        <v>24</v>
      </c>
      <c r="K125" s="4" t="s">
        <v>13</v>
      </c>
    </row>
    <row r="126" spans="1:11" x14ac:dyDescent="0.25">
      <c r="A126" s="53"/>
      <c r="B126" s="55"/>
      <c r="C126" s="62"/>
      <c r="D126" s="65"/>
      <c r="E126" s="68"/>
      <c r="F126" s="1" t="s">
        <v>16</v>
      </c>
      <c r="G126" s="2" t="s">
        <v>17</v>
      </c>
      <c r="H126" s="2" t="s">
        <v>18</v>
      </c>
      <c r="I126" s="2" t="s">
        <v>23</v>
      </c>
      <c r="J126" s="2" t="s">
        <v>25</v>
      </c>
      <c r="K126" s="4" t="s">
        <v>28</v>
      </c>
    </row>
    <row r="127" spans="1:11" x14ac:dyDescent="0.25">
      <c r="A127" s="53"/>
      <c r="B127" s="3" t="s">
        <v>10</v>
      </c>
      <c r="C127" s="1" t="s">
        <v>1</v>
      </c>
      <c r="D127" s="2" t="s">
        <v>1</v>
      </c>
      <c r="E127" s="4" t="s">
        <v>1</v>
      </c>
      <c r="F127" s="1" t="s">
        <v>2</v>
      </c>
      <c r="G127" s="2" t="s">
        <v>11</v>
      </c>
      <c r="H127" s="2" t="s">
        <v>1</v>
      </c>
      <c r="I127" s="2" t="s">
        <v>12</v>
      </c>
      <c r="J127" s="2" t="s">
        <v>3</v>
      </c>
      <c r="K127" s="4" t="s">
        <v>14</v>
      </c>
    </row>
    <row r="128" spans="1:11" x14ac:dyDescent="0.25">
      <c r="A128" s="5">
        <v>1</v>
      </c>
      <c r="B128" s="6"/>
      <c r="C128" s="6">
        <v>62.02</v>
      </c>
      <c r="D128" s="6">
        <v>61.17</v>
      </c>
      <c r="E128" s="6">
        <v>14.05</v>
      </c>
      <c r="F128" s="6">
        <v>37.9</v>
      </c>
      <c r="G128" s="22">
        <f>(3*F128*$K$18/1000)/((2*(C128/1000)*((E128/1000)^2)))/1000</f>
        <v>201.99253313534976</v>
      </c>
      <c r="H128" s="6">
        <v>1.63</v>
      </c>
      <c r="I128" s="23">
        <f>(6*(E128/1000)*(H128/1000))/(($K$18/1000)^2)</f>
        <v>7.2616726119698771E-2</v>
      </c>
      <c r="J128" s="6">
        <v>34.5</v>
      </c>
      <c r="K128" s="22">
        <f>((($K$18/1000)^3)*(J128*1000))/(4*(C128/1000)*((E128/1000)^3))/1000000</f>
        <v>4.1273009741797608</v>
      </c>
    </row>
    <row r="129" spans="1:11" x14ac:dyDescent="0.25">
      <c r="A129" s="5">
        <v>2</v>
      </c>
      <c r="B129" s="6"/>
      <c r="C129" s="6">
        <v>68.63</v>
      </c>
      <c r="D129" s="6">
        <v>62.62</v>
      </c>
      <c r="E129" s="6">
        <v>15.25</v>
      </c>
      <c r="F129" s="6">
        <v>35.1</v>
      </c>
      <c r="G129" s="22">
        <f>(3*F129*$K$18/1000)/((2*(C129/1000)*((E129/1000)^2)))/1000</f>
        <v>143.49406746379591</v>
      </c>
      <c r="H129" s="6">
        <v>1.62</v>
      </c>
      <c r="I129" s="23">
        <f>(6*(E129/1000)*(H129/1000))/(($K$18/1000)^2)</f>
        <v>7.8335315101070169E-2</v>
      </c>
      <c r="J129" s="6">
        <v>26.9</v>
      </c>
      <c r="K129" s="22">
        <f>((($K$18/1000)^3)*(J129*1000))/(4*(C129/1000)*((E129/1000)^3))/1000000</f>
        <v>2.2742412349913885</v>
      </c>
    </row>
    <row r="130" spans="1:11" x14ac:dyDescent="0.25">
      <c r="A130" s="5">
        <v>3</v>
      </c>
      <c r="B130" s="6"/>
      <c r="C130" s="6">
        <v>68.08</v>
      </c>
      <c r="D130" s="6">
        <v>61.93</v>
      </c>
      <c r="E130" s="6">
        <v>14.87</v>
      </c>
      <c r="F130" s="6">
        <v>38.299999999999997</v>
      </c>
      <c r="G130" s="22">
        <f>(3*F130*$K$18/1000)/((2*(C130/1000)*((E130/1000)^2)))/1000</f>
        <v>166.01135940439977</v>
      </c>
      <c r="H130" s="6">
        <v>1.38</v>
      </c>
      <c r="I130" s="23">
        <f>(6*(E130/1000)*(H130/1000))/(($K$18/1000)^2)</f>
        <v>6.506730083234244E-2</v>
      </c>
      <c r="J130" s="6">
        <v>49.3</v>
      </c>
      <c r="K130" s="22">
        <f>((($K$18/1000)^3)*(J130*1000))/(4*(C130/1000)*((E130/1000)^3))/1000000</f>
        <v>4.5321288255878445</v>
      </c>
    </row>
    <row r="131" spans="1:11" x14ac:dyDescent="0.25">
      <c r="A131" s="5">
        <v>4</v>
      </c>
      <c r="B131" s="6"/>
      <c r="C131" s="6">
        <v>70.25</v>
      </c>
      <c r="D131" s="6">
        <v>67.72</v>
      </c>
      <c r="E131" s="6">
        <v>15.74</v>
      </c>
      <c r="F131" s="6">
        <v>33.299999999999997</v>
      </c>
      <c r="G131" s="22">
        <f>(3*F131*$K$18/1000)/((2*(C131/1000)*((E131/1000)^2)))/1000</f>
        <v>124.84437079686809</v>
      </c>
      <c r="H131" s="6">
        <v>1.42</v>
      </c>
      <c r="I131" s="23">
        <f>(6*(E131/1000)*(H131/1000))/(($K$18/1000)^2)</f>
        <v>7.087055093143084E-2</v>
      </c>
      <c r="J131" s="6">
        <v>38.799999999999997</v>
      </c>
      <c r="K131" s="22">
        <f>((($K$18/1000)^3)*(J131*1000))/(4*(C131/1000)*((E131/1000)^3))/1000000</f>
        <v>2.9146002142061036</v>
      </c>
    </row>
    <row r="132" spans="1:11" x14ac:dyDescent="0.25">
      <c r="A132" s="5">
        <v>5</v>
      </c>
      <c r="B132" s="6"/>
      <c r="C132" s="6">
        <v>67.17</v>
      </c>
      <c r="D132" s="6">
        <v>66.34</v>
      </c>
      <c r="E132" s="6">
        <v>13.42</v>
      </c>
      <c r="F132" s="6">
        <v>29.8</v>
      </c>
      <c r="G132" s="22">
        <f>(3*F132*$K$18/1000)/((2*(C132/1000)*((E132/1000)^2)))/1000</f>
        <v>160.73720050354376</v>
      </c>
      <c r="H132" s="6">
        <v>1.7</v>
      </c>
      <c r="I132" s="23">
        <f>(6*(E132/1000)*(H132/1000))/(($K$18/1000)^2)</f>
        <v>7.2339278636543797E-2</v>
      </c>
      <c r="J132" s="6">
        <v>35.1</v>
      </c>
      <c r="K132" s="22">
        <f>((($K$18/1000)^3)*(J132*1000))/(4*(C132/1000)*((E132/1000)^3))/1000000</f>
        <v>4.4492007340768032</v>
      </c>
    </row>
    <row r="133" spans="1:11" x14ac:dyDescent="0.25">
      <c r="A133" s="7" t="s">
        <v>4</v>
      </c>
      <c r="B133" s="9" t="e">
        <f t="shared" ref="B133:K133" si="16">AVERAGE(B128:B132)</f>
        <v>#DIV/0!</v>
      </c>
      <c r="C133" s="10">
        <f t="shared" si="16"/>
        <v>67.23</v>
      </c>
      <c r="D133" s="8">
        <f t="shared" si="16"/>
        <v>63.955999999999996</v>
      </c>
      <c r="E133" s="11">
        <f t="shared" si="16"/>
        <v>14.666</v>
      </c>
      <c r="F133" s="10">
        <f t="shared" si="16"/>
        <v>34.880000000000003</v>
      </c>
      <c r="G133" s="8">
        <f t="shared" si="16"/>
        <v>159.41590626079147</v>
      </c>
      <c r="H133" s="8">
        <f t="shared" si="16"/>
        <v>1.55</v>
      </c>
      <c r="I133" s="28">
        <f t="shared" si="16"/>
        <v>7.1845834324217206E-2</v>
      </c>
      <c r="J133" s="8">
        <f t="shared" si="16"/>
        <v>36.92</v>
      </c>
      <c r="K133" s="11">
        <f t="shared" si="16"/>
        <v>3.6594943966083804</v>
      </c>
    </row>
    <row r="134" spans="1:11" ht="15.75" thickBot="1" x14ac:dyDescent="0.3">
      <c r="A134" s="15" t="s">
        <v>5</v>
      </c>
      <c r="B134" s="16" t="e">
        <f t="shared" ref="B134:K134" si="17">STDEV(B128:B132)</f>
        <v>#DIV/0!</v>
      </c>
      <c r="C134" s="12">
        <f t="shared" si="17"/>
        <v>3.120520789868253</v>
      </c>
      <c r="D134" s="13">
        <f t="shared" si="17"/>
        <v>2.8940680710722755</v>
      </c>
      <c r="E134" s="14">
        <f t="shared" si="17"/>
        <v>0.9311444571064148</v>
      </c>
      <c r="F134" s="12">
        <f t="shared" si="17"/>
        <v>3.5059948659403357</v>
      </c>
      <c r="G134" s="13">
        <f t="shared" si="17"/>
        <v>28.752004241755234</v>
      </c>
      <c r="H134" s="13">
        <f t="shared" si="17"/>
        <v>0.14106735979665888</v>
      </c>
      <c r="I134" s="29">
        <f t="shared" si="17"/>
        <v>4.7394835214283944E-3</v>
      </c>
      <c r="J134" s="13">
        <f t="shared" si="17"/>
        <v>8.1603921474399801</v>
      </c>
      <c r="K134" s="14">
        <f t="shared" si="17"/>
        <v>1.0096736607493244</v>
      </c>
    </row>
    <row r="136" spans="1:11" ht="15.75" thickBot="1" x14ac:dyDescent="0.3"/>
    <row r="137" spans="1:11" x14ac:dyDescent="0.25">
      <c r="A137" s="52" t="s">
        <v>39</v>
      </c>
      <c r="B137" s="54" t="s">
        <v>9</v>
      </c>
      <c r="C137" s="52" t="s">
        <v>8</v>
      </c>
      <c r="D137" s="56"/>
      <c r="E137" s="57"/>
      <c r="F137" s="52" t="s">
        <v>0</v>
      </c>
      <c r="G137" s="56"/>
      <c r="H137" s="56"/>
      <c r="I137" s="56"/>
      <c r="J137" s="56"/>
      <c r="K137" s="57"/>
    </row>
    <row r="138" spans="1:11" x14ac:dyDescent="0.25">
      <c r="A138" s="53"/>
      <c r="B138" s="55"/>
      <c r="C138" s="53"/>
      <c r="D138" s="58"/>
      <c r="E138" s="59"/>
      <c r="F138" s="53" t="s">
        <v>15</v>
      </c>
      <c r="G138" s="58"/>
      <c r="H138" s="58"/>
      <c r="I138" s="58"/>
      <c r="J138" s="58"/>
      <c r="K138" s="20">
        <v>43.5</v>
      </c>
    </row>
    <row r="139" spans="1:11" x14ac:dyDescent="0.25">
      <c r="A139" s="53"/>
      <c r="B139" s="55"/>
      <c r="C139" s="60" t="s">
        <v>26</v>
      </c>
      <c r="D139" s="63" t="s">
        <v>6</v>
      </c>
      <c r="E139" s="66" t="s">
        <v>7</v>
      </c>
      <c r="F139" s="69" t="s">
        <v>27</v>
      </c>
      <c r="G139" s="70"/>
      <c r="H139" s="70"/>
      <c r="I139" s="70"/>
      <c r="J139" s="71"/>
      <c r="K139" s="21">
        <v>0.2</v>
      </c>
    </row>
    <row r="140" spans="1:11" ht="25.5" x14ac:dyDescent="0.25">
      <c r="A140" s="53"/>
      <c r="B140" s="55"/>
      <c r="C140" s="61"/>
      <c r="D140" s="64"/>
      <c r="E140" s="67"/>
      <c r="F140" s="17" t="s">
        <v>20</v>
      </c>
      <c r="G140" s="18" t="s">
        <v>19</v>
      </c>
      <c r="H140" s="18" t="s">
        <v>22</v>
      </c>
      <c r="I140" s="18" t="s">
        <v>21</v>
      </c>
      <c r="J140" s="18" t="s">
        <v>24</v>
      </c>
      <c r="K140" s="4" t="s">
        <v>13</v>
      </c>
    </row>
    <row r="141" spans="1:11" x14ac:dyDescent="0.25">
      <c r="A141" s="53"/>
      <c r="B141" s="55"/>
      <c r="C141" s="62"/>
      <c r="D141" s="65"/>
      <c r="E141" s="68"/>
      <c r="F141" s="1" t="s">
        <v>16</v>
      </c>
      <c r="G141" s="2" t="s">
        <v>17</v>
      </c>
      <c r="H141" s="2" t="s">
        <v>18</v>
      </c>
      <c r="I141" s="2" t="s">
        <v>23</v>
      </c>
      <c r="J141" s="2" t="s">
        <v>25</v>
      </c>
      <c r="K141" s="4" t="s">
        <v>28</v>
      </c>
    </row>
    <row r="142" spans="1:11" x14ac:dyDescent="0.25">
      <c r="A142" s="53"/>
      <c r="B142" s="3" t="s">
        <v>10</v>
      </c>
      <c r="C142" s="1" t="s">
        <v>1</v>
      </c>
      <c r="D142" s="2" t="s">
        <v>1</v>
      </c>
      <c r="E142" s="4" t="s">
        <v>1</v>
      </c>
      <c r="F142" s="1" t="s">
        <v>2</v>
      </c>
      <c r="G142" s="2" t="s">
        <v>11</v>
      </c>
      <c r="H142" s="2" t="s">
        <v>1</v>
      </c>
      <c r="I142" s="2" t="s">
        <v>12</v>
      </c>
      <c r="J142" s="2" t="s">
        <v>3</v>
      </c>
      <c r="K142" s="4" t="s">
        <v>14</v>
      </c>
    </row>
    <row r="143" spans="1:11" x14ac:dyDescent="0.25">
      <c r="A143" s="5">
        <v>1</v>
      </c>
      <c r="B143" s="6"/>
      <c r="C143" s="6">
        <v>67.599999999999994</v>
      </c>
      <c r="D143" s="6">
        <v>66.91</v>
      </c>
      <c r="E143" s="6">
        <v>15.05</v>
      </c>
      <c r="F143" s="6">
        <v>40.700000000000003</v>
      </c>
      <c r="G143" s="22">
        <f>(3*F143*$K$18/1000)/((2*(C143/1000)*((E143/1000)^2)))/1000</f>
        <v>173.44238203152142</v>
      </c>
      <c r="H143" s="6">
        <v>1.33</v>
      </c>
      <c r="I143" s="23">
        <f>(6*(E143/1000)*(H143/1000))/(($K$18/1000)^2)</f>
        <v>6.3468886246531908E-2</v>
      </c>
      <c r="J143" s="6">
        <v>40.700000000000003</v>
      </c>
      <c r="K143" s="22">
        <f>((($K$18/1000)^3)*(J143*1000))/(4*(C143/1000)*((E143/1000)^3))/1000000</f>
        <v>3.6345110453947544</v>
      </c>
    </row>
    <row r="144" spans="1:11" x14ac:dyDescent="0.25">
      <c r="A144" s="5">
        <v>2</v>
      </c>
      <c r="B144" s="6"/>
      <c r="C144" s="6">
        <v>69.37</v>
      </c>
      <c r="D144" s="6">
        <v>66.930000000000007</v>
      </c>
      <c r="E144" s="6">
        <v>15.46</v>
      </c>
      <c r="F144" s="6">
        <v>30.1</v>
      </c>
      <c r="G144" s="22">
        <f>(3*F144*$K$18/1000)/((2*(C144/1000)*((E144/1000)^2)))/1000</f>
        <v>118.45580213334654</v>
      </c>
      <c r="H144" s="6">
        <v>1.34</v>
      </c>
      <c r="I144" s="23">
        <f>(6*(E144/1000)*(H144/1000))/(($K$18/1000)^2)</f>
        <v>6.5688149028933815E-2</v>
      </c>
      <c r="J144" s="6">
        <v>25.8</v>
      </c>
      <c r="K144" s="22">
        <f>((($K$18/1000)^3)*(J144*1000))/(4*(C144/1000)*((E144/1000)^3))/1000000</f>
        <v>2.071225204091895</v>
      </c>
    </row>
    <row r="145" spans="1:11" x14ac:dyDescent="0.25">
      <c r="A145" s="5">
        <v>3</v>
      </c>
      <c r="B145" s="6"/>
      <c r="C145" s="6">
        <v>67.900000000000006</v>
      </c>
      <c r="D145" s="6">
        <v>65.37</v>
      </c>
      <c r="E145" s="6">
        <v>14.69</v>
      </c>
      <c r="F145" s="6">
        <v>33.200000000000003</v>
      </c>
      <c r="G145" s="22">
        <f>(3*F145*$K$18/1000)/((2*(C145/1000)*((E145/1000)^2)))/1000</f>
        <v>147.84452076170615</v>
      </c>
      <c r="H145" s="6">
        <v>1.43</v>
      </c>
      <c r="I145" s="23">
        <f>(6*(E145/1000)*(H145/1000))/(($K$18/1000)^2)</f>
        <v>6.6608640507332548E-2</v>
      </c>
      <c r="J145" s="6">
        <v>26.9</v>
      </c>
      <c r="K145" s="22">
        <f>((($K$18/1000)^3)*(J145*1000))/(4*(C145/1000)*((E145/1000)^3))/1000000</f>
        <v>2.5717271979903971</v>
      </c>
    </row>
    <row r="146" spans="1:11" x14ac:dyDescent="0.25">
      <c r="A146" s="5">
        <v>4</v>
      </c>
      <c r="B146" s="6"/>
      <c r="C146" s="6">
        <v>65.84</v>
      </c>
      <c r="D146" s="6">
        <v>64.930000000000007</v>
      </c>
      <c r="E146" s="6">
        <v>13.66</v>
      </c>
      <c r="F146" s="6">
        <v>26.4</v>
      </c>
      <c r="G146" s="22">
        <f>(3*F146*$K$18/1000)/((2*(C146/1000)*((E146/1000)^2)))/1000</f>
        <v>140.2145950304126</v>
      </c>
      <c r="H146" s="6">
        <v>1.39</v>
      </c>
      <c r="I146" s="23">
        <f>(6*(E146/1000)*(H146/1000))/(($K$18/1000)^2)</f>
        <v>6.0205786761791523E-2</v>
      </c>
      <c r="J146" s="6">
        <v>21.9</v>
      </c>
      <c r="K146" s="22">
        <f>((($K$18/1000)^3)*(J146*1000))/(4*(C146/1000)*((E146/1000)^3))/1000000</f>
        <v>2.6854061187801932</v>
      </c>
    </row>
    <row r="147" spans="1:11" x14ac:dyDescent="0.25">
      <c r="A147" s="5">
        <v>5</v>
      </c>
      <c r="B147" s="6"/>
      <c r="C147" s="6">
        <v>65.3</v>
      </c>
      <c r="D147" s="6">
        <v>64.37</v>
      </c>
      <c r="E147" s="6">
        <v>13.83</v>
      </c>
      <c r="F147" s="6">
        <v>31</v>
      </c>
      <c r="G147" s="22">
        <f>(3*F147*$K$18/1000)/((2*(C147/1000)*((E147/1000)^2)))/1000</f>
        <v>161.95138571766614</v>
      </c>
      <c r="H147" s="6">
        <v>1.01</v>
      </c>
      <c r="I147" s="23">
        <f>(6*(E147/1000)*(H147/1000))/(($K$18/1000)^2)</f>
        <v>4.429108204518431E-2</v>
      </c>
      <c r="J147" s="6">
        <v>36.700000000000003</v>
      </c>
      <c r="K147" s="22">
        <f>((($K$18/1000)^3)*(J147*1000))/(4*(C147/1000)*((E147/1000)^3))/1000000</f>
        <v>4.3721406258834676</v>
      </c>
    </row>
    <row r="148" spans="1:11" x14ac:dyDescent="0.25">
      <c r="A148" s="7" t="s">
        <v>4</v>
      </c>
      <c r="B148" s="9" t="e">
        <f t="shared" ref="B148:K148" si="18">AVERAGE(B143:B147)</f>
        <v>#DIV/0!</v>
      </c>
      <c r="C148" s="10">
        <f t="shared" si="18"/>
        <v>67.202000000000012</v>
      </c>
      <c r="D148" s="8">
        <f t="shared" si="18"/>
        <v>65.701999999999998</v>
      </c>
      <c r="E148" s="11">
        <f t="shared" si="18"/>
        <v>14.538</v>
      </c>
      <c r="F148" s="10">
        <f t="shared" si="18"/>
        <v>32.28</v>
      </c>
      <c r="G148" s="8">
        <f t="shared" si="18"/>
        <v>148.38173713493057</v>
      </c>
      <c r="H148" s="8">
        <f t="shared" si="18"/>
        <v>1.2999999999999998</v>
      </c>
      <c r="I148" s="28">
        <f t="shared" si="18"/>
        <v>6.0052508917954814E-2</v>
      </c>
      <c r="J148" s="8">
        <f t="shared" si="18"/>
        <v>30.4</v>
      </c>
      <c r="K148" s="11">
        <f t="shared" si="18"/>
        <v>3.0670020384281416</v>
      </c>
    </row>
    <row r="149" spans="1:11" ht="15.75" thickBot="1" x14ac:dyDescent="0.3">
      <c r="A149" s="15" t="s">
        <v>5</v>
      </c>
      <c r="B149" s="16" t="e">
        <f t="shared" ref="B149:K149" si="19">STDEV(B143:B147)</f>
        <v>#DIV/0!</v>
      </c>
      <c r="C149" s="12">
        <f t="shared" si="19"/>
        <v>1.6445728928813117</v>
      </c>
      <c r="D149" s="13">
        <f t="shared" si="19"/>
        <v>1.1670132818438683</v>
      </c>
      <c r="E149" s="14">
        <f t="shared" si="19"/>
        <v>0.7758028099974893</v>
      </c>
      <c r="F149" s="12">
        <f t="shared" si="19"/>
        <v>5.3082012019138967</v>
      </c>
      <c r="G149" s="13">
        <f t="shared" si="19"/>
        <v>21.063734727002064</v>
      </c>
      <c r="H149" s="13">
        <f t="shared" si="19"/>
        <v>0.16703293088490276</v>
      </c>
      <c r="I149" s="29">
        <f t="shared" si="19"/>
        <v>9.1496038997875735E-3</v>
      </c>
      <c r="J149" s="13">
        <f t="shared" si="19"/>
        <v>7.9284298571659129</v>
      </c>
      <c r="K149" s="14">
        <f t="shared" si="19"/>
        <v>0.92302997279563304</v>
      </c>
    </row>
    <row r="151" spans="1:11" ht="15.75" thickBot="1" x14ac:dyDescent="0.3"/>
    <row r="152" spans="1:11" x14ac:dyDescent="0.25">
      <c r="A152" s="52" t="s">
        <v>40</v>
      </c>
      <c r="B152" s="54" t="s">
        <v>9</v>
      </c>
      <c r="C152" s="52" t="s">
        <v>8</v>
      </c>
      <c r="D152" s="56"/>
      <c r="E152" s="57"/>
      <c r="F152" s="52" t="s">
        <v>0</v>
      </c>
      <c r="G152" s="56"/>
      <c r="H152" s="56"/>
      <c r="I152" s="56"/>
      <c r="J152" s="56"/>
      <c r="K152" s="57"/>
    </row>
    <row r="153" spans="1:11" x14ac:dyDescent="0.25">
      <c r="A153" s="53"/>
      <c r="B153" s="55"/>
      <c r="C153" s="53"/>
      <c r="D153" s="58"/>
      <c r="E153" s="59"/>
      <c r="F153" s="53" t="s">
        <v>15</v>
      </c>
      <c r="G153" s="58"/>
      <c r="H153" s="58"/>
      <c r="I153" s="58"/>
      <c r="J153" s="58"/>
      <c r="K153" s="20"/>
    </row>
    <row r="154" spans="1:11" x14ac:dyDescent="0.25">
      <c r="A154" s="53"/>
      <c r="B154" s="55"/>
      <c r="C154" s="60" t="s">
        <v>26</v>
      </c>
      <c r="D154" s="63" t="s">
        <v>6</v>
      </c>
      <c r="E154" s="66" t="s">
        <v>7</v>
      </c>
      <c r="F154" s="69" t="s">
        <v>27</v>
      </c>
      <c r="G154" s="70"/>
      <c r="H154" s="70"/>
      <c r="I154" s="70"/>
      <c r="J154" s="71"/>
      <c r="K154" s="21">
        <v>0.2</v>
      </c>
    </row>
    <row r="155" spans="1:11" ht="25.5" x14ac:dyDescent="0.25">
      <c r="A155" s="53"/>
      <c r="B155" s="55"/>
      <c r="C155" s="61"/>
      <c r="D155" s="64"/>
      <c r="E155" s="67"/>
      <c r="F155" s="17" t="s">
        <v>20</v>
      </c>
      <c r="G155" s="18" t="s">
        <v>19</v>
      </c>
      <c r="H155" s="18" t="s">
        <v>22</v>
      </c>
      <c r="I155" s="18" t="s">
        <v>21</v>
      </c>
      <c r="J155" s="18" t="s">
        <v>24</v>
      </c>
      <c r="K155" s="4" t="s">
        <v>13</v>
      </c>
    </row>
    <row r="156" spans="1:11" x14ac:dyDescent="0.25">
      <c r="A156" s="53"/>
      <c r="B156" s="55"/>
      <c r="C156" s="62"/>
      <c r="D156" s="65"/>
      <c r="E156" s="68"/>
      <c r="F156" s="1" t="s">
        <v>16</v>
      </c>
      <c r="G156" s="2" t="s">
        <v>17</v>
      </c>
      <c r="H156" s="2" t="s">
        <v>18</v>
      </c>
      <c r="I156" s="2" t="s">
        <v>23</v>
      </c>
      <c r="J156" s="2" t="s">
        <v>25</v>
      </c>
      <c r="K156" s="4" t="s">
        <v>28</v>
      </c>
    </row>
    <row r="157" spans="1:11" x14ac:dyDescent="0.25">
      <c r="A157" s="53"/>
      <c r="B157" s="3" t="s">
        <v>10</v>
      </c>
      <c r="C157" s="1" t="s">
        <v>1</v>
      </c>
      <c r="D157" s="2" t="s">
        <v>1</v>
      </c>
      <c r="E157" s="4" t="s">
        <v>1</v>
      </c>
      <c r="F157" s="1" t="s">
        <v>2</v>
      </c>
      <c r="G157" s="2" t="s">
        <v>11</v>
      </c>
      <c r="H157" s="2" t="s">
        <v>1</v>
      </c>
      <c r="I157" s="2" t="s">
        <v>12</v>
      </c>
      <c r="J157" s="2" t="s">
        <v>3</v>
      </c>
      <c r="K157" s="4" t="s">
        <v>14</v>
      </c>
    </row>
    <row r="158" spans="1:11" x14ac:dyDescent="0.25">
      <c r="A158" s="5">
        <v>1</v>
      </c>
      <c r="B158" s="6"/>
      <c r="C158" s="6">
        <v>65.099999999999994</v>
      </c>
      <c r="D158" s="6">
        <v>63.33</v>
      </c>
      <c r="E158" s="6">
        <v>14.7</v>
      </c>
      <c r="F158" s="6">
        <v>23.5</v>
      </c>
      <c r="G158" s="22">
        <f>(3*F158*$K$18/1000)/((2*(C158/1000)*((E158/1000)^2)))/1000</f>
        <v>109.00156168928589</v>
      </c>
      <c r="H158" s="6">
        <v>1.29</v>
      </c>
      <c r="I158" s="23">
        <f>(6*(E158/1000)*(H158/1000))/(($K$18/1000)^2)</f>
        <v>6.0128418549346023E-2</v>
      </c>
      <c r="J158" s="6">
        <v>20.3</v>
      </c>
      <c r="K158" s="22">
        <f>((($K$18/1000)^3)*(J158*1000))/(4*(C158/1000)*((E158/1000)^3))/1000000</f>
        <v>2.0200904924316059</v>
      </c>
    </row>
    <row r="159" spans="1:11" x14ac:dyDescent="0.25">
      <c r="A159" s="5">
        <v>2</v>
      </c>
      <c r="B159" s="6"/>
      <c r="C159" s="6">
        <v>70.52</v>
      </c>
      <c r="D159" s="6">
        <v>69.86</v>
      </c>
      <c r="E159" s="6">
        <v>14.13</v>
      </c>
      <c r="F159" s="6">
        <v>18.899999999999999</v>
      </c>
      <c r="G159" s="22">
        <f>(3*F159*$K$18/1000)/((2*(C159/1000)*((E159/1000)^2)))/1000</f>
        <v>87.588218450919314</v>
      </c>
      <c r="H159" s="6">
        <v>1.1100000000000001</v>
      </c>
      <c r="I159" s="23">
        <f>(6*(E159/1000)*(H159/1000))/(($K$18/1000)^2)</f>
        <v>4.9732223543400712E-2</v>
      </c>
      <c r="J159" s="6">
        <v>25.9</v>
      </c>
      <c r="K159" s="22">
        <f>((($K$18/1000)^3)*(J159*1000))/(4*(C159/1000)*((E159/1000)^3))/1000000</f>
        <v>2.6789755775116535</v>
      </c>
    </row>
    <row r="160" spans="1:11" x14ac:dyDescent="0.25">
      <c r="A160" s="5">
        <v>3</v>
      </c>
      <c r="B160" s="6"/>
      <c r="C160" s="6">
        <v>69.81</v>
      </c>
      <c r="D160" s="6">
        <v>69.38</v>
      </c>
      <c r="E160" s="6">
        <v>13.56</v>
      </c>
      <c r="F160" s="6">
        <v>21</v>
      </c>
      <c r="G160" s="22">
        <f>(3*F160*$K$18/1000)/((2*(C160/1000)*((E160/1000)^2)))/1000</f>
        <v>106.74874887521524</v>
      </c>
      <c r="H160" s="6">
        <v>1.59</v>
      </c>
      <c r="I160" s="23">
        <f>(6*(E160/1000)*(H160/1000))/(($K$18/1000)^2)</f>
        <v>6.8364328180737219E-2</v>
      </c>
      <c r="J160" s="6">
        <v>23.5</v>
      </c>
      <c r="K160" s="22">
        <f>((($K$18/1000)^3)*(J160*1000))/(4*(C160/1000)*((E160/1000)^3))/1000000</f>
        <v>2.7782986967911345</v>
      </c>
    </row>
    <row r="161" spans="1:11" x14ac:dyDescent="0.25">
      <c r="A161" s="5">
        <v>4</v>
      </c>
      <c r="B161" s="6"/>
      <c r="C161" s="6">
        <v>69.400000000000006</v>
      </c>
      <c r="D161" s="6">
        <v>67.48</v>
      </c>
      <c r="E161" s="6">
        <v>14.83</v>
      </c>
      <c r="F161" s="6">
        <v>25.7</v>
      </c>
      <c r="G161" s="22">
        <f>(3*F161*$K$18/1000)/((2*(C161/1000)*((E161/1000)^2)))/1000</f>
        <v>109.86816392952606</v>
      </c>
      <c r="H161" s="6">
        <v>1.1299999999999999</v>
      </c>
      <c r="I161" s="23">
        <f>(6*(E161/1000)*(H161/1000))/(($K$18/1000)^2)</f>
        <v>5.313642489100278E-2</v>
      </c>
      <c r="J161" s="6">
        <v>29.7</v>
      </c>
      <c r="K161" s="22">
        <f>((($K$18/1000)^3)*(J161*1000))/(4*(C161/1000)*((E161/1000)^3))/1000000</f>
        <v>2.7001090552026623</v>
      </c>
    </row>
    <row r="162" spans="1:11" x14ac:dyDescent="0.25">
      <c r="A162" s="5">
        <v>5</v>
      </c>
      <c r="B162" s="6"/>
      <c r="C162" s="6">
        <v>66.25</v>
      </c>
      <c r="D162" s="6">
        <v>65.91</v>
      </c>
      <c r="E162" s="6">
        <v>13.94</v>
      </c>
      <c r="F162" s="6">
        <v>19.8</v>
      </c>
      <c r="G162" s="22">
        <f>(3*F162*$K$18/1000)/((2*(C162/1000)*((E162/1000)^2)))/1000</f>
        <v>100.3539049064123</v>
      </c>
      <c r="H162" s="6">
        <v>1.37</v>
      </c>
      <c r="I162" s="23">
        <f>(6*(E162/1000)*(H162/1000))/(($K$18/1000)^2)</f>
        <v>6.0555846214823628E-2</v>
      </c>
      <c r="J162" s="6">
        <v>21.5</v>
      </c>
      <c r="K162" s="22">
        <f>((($K$18/1000)^3)*(J162*1000))/(4*(C162/1000)*((E162/1000)^3))/1000000</f>
        <v>2.465312828199445</v>
      </c>
    </row>
    <row r="163" spans="1:11" x14ac:dyDescent="0.25">
      <c r="A163" s="7" t="s">
        <v>4</v>
      </c>
      <c r="B163" s="9" t="e">
        <f t="shared" ref="B163:K163" si="20">AVERAGE(B158:B162)</f>
        <v>#DIV/0!</v>
      </c>
      <c r="C163" s="10">
        <f t="shared" si="20"/>
        <v>68.216000000000008</v>
      </c>
      <c r="D163" s="8">
        <f t="shared" si="20"/>
        <v>67.192000000000007</v>
      </c>
      <c r="E163" s="11">
        <f t="shared" si="20"/>
        <v>14.231999999999999</v>
      </c>
      <c r="F163" s="10">
        <f t="shared" si="20"/>
        <v>21.779999999999998</v>
      </c>
      <c r="G163" s="8">
        <f t="shared" si="20"/>
        <v>102.71211957027177</v>
      </c>
      <c r="H163" s="8">
        <f t="shared" si="20"/>
        <v>1.298</v>
      </c>
      <c r="I163" s="28">
        <f t="shared" si="20"/>
        <v>5.8383448275862074E-2</v>
      </c>
      <c r="J163" s="8">
        <f t="shared" si="20"/>
        <v>24.18</v>
      </c>
      <c r="K163" s="11">
        <f t="shared" si="20"/>
        <v>2.5285573300272999</v>
      </c>
    </row>
    <row r="164" spans="1:11" ht="15.75" thickBot="1" x14ac:dyDescent="0.3">
      <c r="A164" s="15" t="s">
        <v>5</v>
      </c>
      <c r="B164" s="16" t="e">
        <f t="shared" ref="B164:K164" si="21">STDEV(B158:B162)</f>
        <v>#DIV/0!</v>
      </c>
      <c r="C164" s="12">
        <f t="shared" si="21"/>
        <v>2.3888135130227326</v>
      </c>
      <c r="D164" s="13">
        <f t="shared" si="21"/>
        <v>2.6714733762476466</v>
      </c>
      <c r="E164" s="14">
        <f t="shared" si="21"/>
        <v>0.53006603362222682</v>
      </c>
      <c r="F164" s="12">
        <f t="shared" si="21"/>
        <v>2.7905196648653363</v>
      </c>
      <c r="G164" s="13">
        <f t="shared" si="21"/>
        <v>9.2378838303797259</v>
      </c>
      <c r="H164" s="13">
        <f t="shared" si="21"/>
        <v>0.1962651268055538</v>
      </c>
      <c r="I164" s="29">
        <f t="shared" si="21"/>
        <v>7.2414974540646456E-3</v>
      </c>
      <c r="J164" s="13">
        <f t="shared" si="21"/>
        <v>3.7459311259017998</v>
      </c>
      <c r="K164" s="14">
        <f t="shared" si="21"/>
        <v>0.30698729037453754</v>
      </c>
    </row>
    <row r="166" spans="1:11" ht="15.75" thickBot="1" x14ac:dyDescent="0.3"/>
    <row r="167" spans="1:11" x14ac:dyDescent="0.25">
      <c r="A167" s="52" t="s">
        <v>41</v>
      </c>
      <c r="B167" s="54" t="s">
        <v>9</v>
      </c>
      <c r="C167" s="52" t="s">
        <v>8</v>
      </c>
      <c r="D167" s="56"/>
      <c r="E167" s="57"/>
      <c r="F167" s="52" t="s">
        <v>0</v>
      </c>
      <c r="G167" s="56"/>
      <c r="H167" s="56"/>
      <c r="I167" s="56"/>
      <c r="J167" s="56"/>
      <c r="K167" s="57"/>
    </row>
    <row r="168" spans="1:11" x14ac:dyDescent="0.25">
      <c r="A168" s="53"/>
      <c r="B168" s="55"/>
      <c r="C168" s="53"/>
      <c r="D168" s="58"/>
      <c r="E168" s="59"/>
      <c r="F168" s="53" t="s">
        <v>15</v>
      </c>
      <c r="G168" s="58"/>
      <c r="H168" s="58"/>
      <c r="I168" s="58"/>
      <c r="J168" s="58"/>
      <c r="K168" s="20"/>
    </row>
    <row r="169" spans="1:11" x14ac:dyDescent="0.25">
      <c r="A169" s="53"/>
      <c r="B169" s="55"/>
      <c r="C169" s="60" t="s">
        <v>26</v>
      </c>
      <c r="D169" s="63" t="s">
        <v>6</v>
      </c>
      <c r="E169" s="66" t="s">
        <v>7</v>
      </c>
      <c r="F169" s="69" t="s">
        <v>27</v>
      </c>
      <c r="G169" s="70"/>
      <c r="H169" s="70"/>
      <c r="I169" s="70"/>
      <c r="J169" s="71"/>
      <c r="K169" s="21">
        <v>0.2</v>
      </c>
    </row>
    <row r="170" spans="1:11" ht="25.5" x14ac:dyDescent="0.25">
      <c r="A170" s="53"/>
      <c r="B170" s="55"/>
      <c r="C170" s="61"/>
      <c r="D170" s="64"/>
      <c r="E170" s="67"/>
      <c r="F170" s="17" t="s">
        <v>20</v>
      </c>
      <c r="G170" s="18" t="s">
        <v>19</v>
      </c>
      <c r="H170" s="18" t="s">
        <v>22</v>
      </c>
      <c r="I170" s="18" t="s">
        <v>21</v>
      </c>
      <c r="J170" s="18" t="s">
        <v>24</v>
      </c>
      <c r="K170" s="4" t="s">
        <v>13</v>
      </c>
    </row>
    <row r="171" spans="1:11" x14ac:dyDescent="0.25">
      <c r="A171" s="53"/>
      <c r="B171" s="55"/>
      <c r="C171" s="62"/>
      <c r="D171" s="65"/>
      <c r="E171" s="68"/>
      <c r="F171" s="1" t="s">
        <v>16</v>
      </c>
      <c r="G171" s="2" t="s">
        <v>17</v>
      </c>
      <c r="H171" s="2" t="s">
        <v>18</v>
      </c>
      <c r="I171" s="2" t="s">
        <v>23</v>
      </c>
      <c r="J171" s="2" t="s">
        <v>25</v>
      </c>
      <c r="K171" s="4" t="s">
        <v>28</v>
      </c>
    </row>
    <row r="172" spans="1:11" x14ac:dyDescent="0.25">
      <c r="A172" s="53"/>
      <c r="B172" s="3" t="s">
        <v>10</v>
      </c>
      <c r="C172" s="1" t="s">
        <v>1</v>
      </c>
      <c r="D172" s="2" t="s">
        <v>1</v>
      </c>
      <c r="E172" s="4" t="s">
        <v>1</v>
      </c>
      <c r="F172" s="1" t="s">
        <v>2</v>
      </c>
      <c r="G172" s="2" t="s">
        <v>11</v>
      </c>
      <c r="H172" s="2" t="s">
        <v>1</v>
      </c>
      <c r="I172" s="2" t="s">
        <v>12</v>
      </c>
      <c r="J172" s="2" t="s">
        <v>3</v>
      </c>
      <c r="K172" s="4" t="s">
        <v>14</v>
      </c>
    </row>
    <row r="173" spans="1:11" x14ac:dyDescent="0.25">
      <c r="A173" s="5">
        <v>1</v>
      </c>
      <c r="B173" s="6"/>
      <c r="C173" s="6">
        <v>61.53</v>
      </c>
      <c r="D173" s="6">
        <v>60.83</v>
      </c>
      <c r="E173" s="6">
        <v>6.88</v>
      </c>
      <c r="F173" s="6">
        <v>17.600000000000001</v>
      </c>
      <c r="G173" s="22">
        <f>(3*F173*$K$18/1000)/((2*(C173/1000)*((E173/1000)^2)))/1000</f>
        <v>394.30237436446868</v>
      </c>
      <c r="H173" s="6">
        <v>0.48</v>
      </c>
      <c r="I173" s="23">
        <f>(6*(E173/1000)*(H173/1000))/(($K$18/1000)^2)</f>
        <v>1.0471343638525565E-2</v>
      </c>
      <c r="J173" s="6">
        <v>64.3</v>
      </c>
      <c r="K173" s="22">
        <f>((($K$18/1000)^3)*(J173*1000))/(4*(C173/1000)*((E173/1000)^3))/1000000</f>
        <v>66.033835372348975</v>
      </c>
    </row>
    <row r="174" spans="1:11" x14ac:dyDescent="0.25">
      <c r="A174" s="5">
        <v>2</v>
      </c>
      <c r="B174" s="6"/>
      <c r="C174" s="6">
        <v>61.33</v>
      </c>
      <c r="D174" s="6">
        <v>60.13</v>
      </c>
      <c r="E174" s="6">
        <v>7.01</v>
      </c>
      <c r="F174" s="6">
        <v>18.3</v>
      </c>
      <c r="G174" s="22">
        <f>(3*F174*$K$18/1000)/((2*(C174/1000)*((E174/1000)^2)))/1000</f>
        <v>396.20742051393876</v>
      </c>
      <c r="H174" s="6">
        <v>0.25</v>
      </c>
      <c r="I174" s="23">
        <f>(6*(E174/1000)*(H174/1000))/(($K$18/1000)^2)</f>
        <v>5.5568767340467701E-3</v>
      </c>
      <c r="J174" s="6">
        <v>83.4</v>
      </c>
      <c r="K174" s="22">
        <f>((($K$18/1000)^3)*(J174*1000))/(4*(C174/1000)*((E174/1000)^3))/1000000</f>
        <v>81.23567839384998</v>
      </c>
    </row>
    <row r="175" spans="1:11" x14ac:dyDescent="0.25">
      <c r="A175" s="5">
        <v>3</v>
      </c>
      <c r="B175" s="6"/>
      <c r="C175" s="6">
        <v>61.28</v>
      </c>
      <c r="D175" s="6">
        <v>60.71</v>
      </c>
      <c r="E175" s="6">
        <v>6.51</v>
      </c>
      <c r="F175" s="6">
        <v>26.9</v>
      </c>
      <c r="G175" s="22">
        <f>(3*F175*$K$18/1000)/((2*(C175/1000)*((E175/1000)^2)))/1000</f>
        <v>675.85271421202435</v>
      </c>
      <c r="H175" s="6">
        <v>0.38</v>
      </c>
      <c r="I175" s="23">
        <f>(6*(E175/1000)*(H175/1000))/(($K$18/1000)^2)</f>
        <v>7.8439952437574321E-3</v>
      </c>
      <c r="J175" s="6">
        <v>96.9</v>
      </c>
      <c r="K175" s="22">
        <f>((($K$18/1000)^3)*(J175*1000))/(4*(C175/1000)*((E175/1000)^3))/1000000</f>
        <v>117.94236559284489</v>
      </c>
    </row>
    <row r="176" spans="1:11" x14ac:dyDescent="0.25">
      <c r="A176" s="5">
        <v>4</v>
      </c>
      <c r="B176" s="6"/>
      <c r="C176" s="6">
        <v>61.4</v>
      </c>
      <c r="D176" s="6">
        <v>60.62</v>
      </c>
      <c r="E176" s="6">
        <v>6.93</v>
      </c>
      <c r="F176" s="6">
        <v>28.3</v>
      </c>
      <c r="G176" s="22">
        <f>(3*F176*$K$18/1000)/((2*(C176/1000)*((E176/1000)^2)))/1000</f>
        <v>626.22746534925568</v>
      </c>
      <c r="H176" s="6">
        <v>0.41</v>
      </c>
      <c r="I176" s="23">
        <f>(6*(E176/1000)*(H176/1000))/(($K$18/1000)^2)</f>
        <v>9.0092746730083238E-3</v>
      </c>
      <c r="J176" s="6">
        <v>90.2</v>
      </c>
      <c r="K176" s="22">
        <f>((($K$18/1000)^3)*(J176*1000))/(4*(C176/1000)*((E176/1000)^3))/1000000</f>
        <v>90.833540437101135</v>
      </c>
    </row>
    <row r="177" spans="1:11" x14ac:dyDescent="0.25">
      <c r="A177" s="5">
        <v>5</v>
      </c>
      <c r="B177" s="6"/>
      <c r="C177" s="6">
        <v>61.59</v>
      </c>
      <c r="D177" s="6">
        <v>60.84</v>
      </c>
      <c r="E177" s="6">
        <v>7.17</v>
      </c>
      <c r="F177" s="6">
        <v>8.6</v>
      </c>
      <c r="G177" s="22">
        <f>(3*F177*$K$18/1000)/((2*(C177/1000)*((E177/1000)^2)))/1000</f>
        <v>177.22723088358367</v>
      </c>
      <c r="H177" s="6">
        <v>0.26</v>
      </c>
      <c r="I177" s="23">
        <f>(6*(E177/1000)*(H177/1000))/(($K$18/1000)^2)</f>
        <v>5.9110582639714648E-3</v>
      </c>
      <c r="J177" s="6">
        <v>32.4</v>
      </c>
      <c r="K177" s="22">
        <f>((($K$18/1000)^3)*(J177*1000))/(4*(C177/1000)*((E177/1000)^3))/1000000</f>
        <v>29.368726756399248</v>
      </c>
    </row>
    <row r="178" spans="1:11" x14ac:dyDescent="0.25">
      <c r="A178" s="7" t="s">
        <v>4</v>
      </c>
      <c r="B178" s="9" t="e">
        <f t="shared" ref="B178:K178" si="22">AVERAGE(B173:B177)</f>
        <v>#DIV/0!</v>
      </c>
      <c r="C178" s="10">
        <f t="shared" si="22"/>
        <v>61.426000000000002</v>
      </c>
      <c r="D178" s="8">
        <f t="shared" si="22"/>
        <v>60.625999999999998</v>
      </c>
      <c r="E178" s="11">
        <f t="shared" si="22"/>
        <v>6.9</v>
      </c>
      <c r="F178" s="10">
        <f t="shared" si="22"/>
        <v>19.940000000000001</v>
      </c>
      <c r="G178" s="8">
        <f t="shared" si="22"/>
        <v>453.96344106465421</v>
      </c>
      <c r="H178" s="8">
        <f t="shared" si="22"/>
        <v>0.35599999999999998</v>
      </c>
      <c r="I178" s="28">
        <f t="shared" si="22"/>
        <v>7.7585097106619124E-3</v>
      </c>
      <c r="J178" s="8">
        <f t="shared" si="22"/>
        <v>73.44</v>
      </c>
      <c r="K178" s="11">
        <f t="shared" si="22"/>
        <v>77.082829310508856</v>
      </c>
    </row>
    <row r="179" spans="1:11" ht="15.75" thickBot="1" x14ac:dyDescent="0.3">
      <c r="A179" s="15" t="s">
        <v>5</v>
      </c>
      <c r="B179" s="16" t="e">
        <f t="shared" ref="B179:K179" si="23">STDEV(B173:B177)</f>
        <v>#DIV/0!</v>
      </c>
      <c r="C179" s="12">
        <f t="shared" si="23"/>
        <v>0.13126309458488458</v>
      </c>
      <c r="D179" s="13">
        <f t="shared" si="23"/>
        <v>0.29177045772318966</v>
      </c>
      <c r="E179" s="14">
        <f t="shared" si="23"/>
        <v>0.2441311123146741</v>
      </c>
      <c r="F179" s="12">
        <f t="shared" si="23"/>
        <v>7.9857998973177402</v>
      </c>
      <c r="G179" s="13">
        <f t="shared" si="23"/>
        <v>201.48689437258341</v>
      </c>
      <c r="H179" s="13">
        <f t="shared" si="23"/>
        <v>9.9146356463563665E-2</v>
      </c>
      <c r="I179" s="29">
        <f t="shared" si="23"/>
        <v>2.0731288731750406E-3</v>
      </c>
      <c r="J179" s="13">
        <f t="shared" si="23"/>
        <v>25.972543194689294</v>
      </c>
      <c r="K179" s="14">
        <f t="shared" si="23"/>
        <v>32.690005226342159</v>
      </c>
    </row>
    <row r="181" spans="1:11" ht="15.75" thickBot="1" x14ac:dyDescent="0.3"/>
    <row r="182" spans="1:11" x14ac:dyDescent="0.25">
      <c r="A182" s="52" t="s">
        <v>42</v>
      </c>
      <c r="B182" s="54" t="s">
        <v>9</v>
      </c>
      <c r="C182" s="52" t="s">
        <v>8</v>
      </c>
      <c r="D182" s="56"/>
      <c r="E182" s="57"/>
      <c r="F182" s="52" t="s">
        <v>0</v>
      </c>
      <c r="G182" s="56"/>
      <c r="H182" s="56"/>
      <c r="I182" s="56"/>
      <c r="J182" s="56"/>
      <c r="K182" s="57"/>
    </row>
    <row r="183" spans="1:11" x14ac:dyDescent="0.25">
      <c r="A183" s="53"/>
      <c r="B183" s="55"/>
      <c r="C183" s="53"/>
      <c r="D183" s="58"/>
      <c r="E183" s="59"/>
      <c r="F183" s="53" t="s">
        <v>15</v>
      </c>
      <c r="G183" s="58"/>
      <c r="H183" s="58"/>
      <c r="I183" s="58"/>
      <c r="J183" s="58"/>
      <c r="K183" s="20"/>
    </row>
    <row r="184" spans="1:11" x14ac:dyDescent="0.25">
      <c r="A184" s="53"/>
      <c r="B184" s="55"/>
      <c r="C184" s="60" t="s">
        <v>26</v>
      </c>
      <c r="D184" s="63" t="s">
        <v>6</v>
      </c>
      <c r="E184" s="66" t="s">
        <v>7</v>
      </c>
      <c r="F184" s="69" t="s">
        <v>27</v>
      </c>
      <c r="G184" s="70"/>
      <c r="H184" s="70"/>
      <c r="I184" s="70"/>
      <c r="J184" s="71"/>
      <c r="K184" s="21">
        <v>0.2</v>
      </c>
    </row>
    <row r="185" spans="1:11" ht="25.5" x14ac:dyDescent="0.25">
      <c r="A185" s="53"/>
      <c r="B185" s="55"/>
      <c r="C185" s="61"/>
      <c r="D185" s="64"/>
      <c r="E185" s="67"/>
      <c r="F185" s="17" t="s">
        <v>20</v>
      </c>
      <c r="G185" s="18" t="s">
        <v>19</v>
      </c>
      <c r="H185" s="18" t="s">
        <v>22</v>
      </c>
      <c r="I185" s="18" t="s">
        <v>21</v>
      </c>
      <c r="J185" s="18" t="s">
        <v>24</v>
      </c>
      <c r="K185" s="4" t="s">
        <v>13</v>
      </c>
    </row>
    <row r="186" spans="1:11" x14ac:dyDescent="0.25">
      <c r="A186" s="53"/>
      <c r="B186" s="55"/>
      <c r="C186" s="62"/>
      <c r="D186" s="65"/>
      <c r="E186" s="68"/>
      <c r="F186" s="1" t="s">
        <v>16</v>
      </c>
      <c r="G186" s="2" t="s">
        <v>17</v>
      </c>
      <c r="H186" s="2" t="s">
        <v>18</v>
      </c>
      <c r="I186" s="2" t="s">
        <v>23</v>
      </c>
      <c r="J186" s="2" t="s">
        <v>25</v>
      </c>
      <c r="K186" s="4" t="s">
        <v>28</v>
      </c>
    </row>
    <row r="187" spans="1:11" x14ac:dyDescent="0.25">
      <c r="A187" s="53"/>
      <c r="B187" s="3" t="s">
        <v>10</v>
      </c>
      <c r="C187" s="1" t="s">
        <v>1</v>
      </c>
      <c r="D187" s="2" t="s">
        <v>1</v>
      </c>
      <c r="E187" s="4" t="s">
        <v>1</v>
      </c>
      <c r="F187" s="1" t="s">
        <v>2</v>
      </c>
      <c r="G187" s="2" t="s">
        <v>11</v>
      </c>
      <c r="H187" s="2" t="s">
        <v>1</v>
      </c>
      <c r="I187" s="2" t="s">
        <v>12</v>
      </c>
      <c r="J187" s="2" t="s">
        <v>3</v>
      </c>
      <c r="K187" s="4" t="s">
        <v>14</v>
      </c>
    </row>
    <row r="188" spans="1:11" x14ac:dyDescent="0.25">
      <c r="A188" s="5">
        <v>1</v>
      </c>
      <c r="B188" s="6"/>
      <c r="C188" s="6">
        <v>64.16</v>
      </c>
      <c r="D188" s="6">
        <v>56.36</v>
      </c>
      <c r="E188" s="6">
        <v>5.81</v>
      </c>
      <c r="F188" s="6">
        <v>17.8</v>
      </c>
      <c r="G188" s="22">
        <f>(3*F188*$K$18/1000)/((2*(C188/1000)*((E188/1000)^2)))/1000</f>
        <v>536.27048887094679</v>
      </c>
      <c r="H188" s="6">
        <v>0.71</v>
      </c>
      <c r="I188" s="23">
        <f>(6*(E188/1000)*(H188/1000))/(($K$18/1000)^2)</f>
        <v>1.3079984145858103E-2</v>
      </c>
      <c r="J188" s="6">
        <v>34.1</v>
      </c>
      <c r="K188" s="22">
        <f>((($K$18/1000)^3)*(J188*1000))/(4*(C188/1000)*((E188/1000)^3))/1000000</f>
        <v>55.765988658489917</v>
      </c>
    </row>
    <row r="189" spans="1:11" x14ac:dyDescent="0.25">
      <c r="A189" s="5">
        <v>2</v>
      </c>
      <c r="B189" s="6"/>
      <c r="C189" s="6">
        <v>63.82</v>
      </c>
      <c r="D189" s="6">
        <v>55.67</v>
      </c>
      <c r="E189" s="6">
        <v>5.59</v>
      </c>
      <c r="F189" s="6">
        <v>10.4</v>
      </c>
      <c r="G189" s="22">
        <f>(3*F189*$K$18/1000)/((2*(C189/1000)*((E189/1000)^2)))/1000</f>
        <v>340.27766161764589</v>
      </c>
      <c r="H189" s="6">
        <v>1.37</v>
      </c>
      <c r="I189" s="23">
        <f>(6*(E189/1000)*(H189/1000))/(($K$18/1000)^2)</f>
        <v>2.4283154974237026E-2</v>
      </c>
      <c r="J189" s="6">
        <v>15.8</v>
      </c>
      <c r="K189" s="22">
        <f>((($K$18/1000)^3)*(J189*1000))/(4*(C189/1000)*((E189/1000)^3))/1000000</f>
        <v>29.16571602821157</v>
      </c>
    </row>
    <row r="190" spans="1:11" x14ac:dyDescent="0.25">
      <c r="A190" s="5">
        <v>3</v>
      </c>
      <c r="B190" s="6"/>
      <c r="C190" s="6">
        <v>64.150000000000006</v>
      </c>
      <c r="D190" s="6">
        <v>56.14</v>
      </c>
      <c r="E190" s="6">
        <v>5.6</v>
      </c>
      <c r="F190" s="6">
        <v>16.399999999999999</v>
      </c>
      <c r="G190" s="22">
        <f>(3*F190*$K$18/1000)/((2*(C190/1000)*((E190/1000)^2)))/1000</f>
        <v>531.92652743092549</v>
      </c>
      <c r="H190" s="6">
        <v>0.75</v>
      </c>
      <c r="I190" s="23">
        <f>(6*(E190/1000)*(H190/1000))/(($K$18/1000)^2)</f>
        <v>1.3317479191438764E-2</v>
      </c>
      <c r="J190" s="6">
        <v>22.2</v>
      </c>
      <c r="K190" s="22">
        <f>((($K$18/1000)^3)*(J190*1000))/(4*(C190/1000)*((E190/1000)^3))/1000000</f>
        <v>40.550854689300124</v>
      </c>
    </row>
    <row r="191" spans="1:11" x14ac:dyDescent="0.25">
      <c r="A191" s="5">
        <v>4</v>
      </c>
      <c r="B191" s="6"/>
      <c r="C191" s="6">
        <v>64.930000000000007</v>
      </c>
      <c r="D191" s="6">
        <v>55.99</v>
      </c>
      <c r="E191" s="6">
        <v>5.5</v>
      </c>
      <c r="F191" s="6">
        <v>13.2</v>
      </c>
      <c r="G191" s="22">
        <f>(3*F191*$K$18/1000)/((2*(C191/1000)*((E191/1000)^2)))/1000</f>
        <v>438.51420410792042</v>
      </c>
      <c r="H191" s="6">
        <v>0.81</v>
      </c>
      <c r="I191" s="23">
        <f>(6*(E191/1000)*(H191/1000))/(($K$18/1000)^2)</f>
        <v>1.4126040428061834E-2</v>
      </c>
      <c r="J191" s="6">
        <v>25.4</v>
      </c>
      <c r="K191" s="22">
        <f>((($K$18/1000)^3)*(J191*1000))/(4*(C191/1000)*((E191/1000)^3))/1000000</f>
        <v>48.384696898920083</v>
      </c>
    </row>
    <row r="192" spans="1:11" x14ac:dyDescent="0.25">
      <c r="A192" s="5">
        <v>5</v>
      </c>
      <c r="B192" s="6"/>
      <c r="C192" s="6">
        <v>63.5</v>
      </c>
      <c r="D192" s="6">
        <v>56.44</v>
      </c>
      <c r="E192" s="6">
        <v>5.86</v>
      </c>
      <c r="F192" s="6">
        <v>13.4</v>
      </c>
      <c r="G192" s="22">
        <f>(3*F192*$K$18/1000)/((2*(C192/1000)*((E192/1000)^2)))/1000</f>
        <v>400.97413302958324</v>
      </c>
      <c r="H192" s="6">
        <v>0.94</v>
      </c>
      <c r="I192" s="23">
        <f>(6*(E192/1000)*(H192/1000))/(($K$18/1000)^2)</f>
        <v>1.7466191042409835E-2</v>
      </c>
      <c r="J192" s="6">
        <v>34.4</v>
      </c>
      <c r="K192" s="22">
        <f>((($K$18/1000)^3)*(J192*1000))/(4*(C192/1000)*((E192/1000)^3))/1000000</f>
        <v>55.398709589738729</v>
      </c>
    </row>
    <row r="193" spans="1:11" x14ac:dyDescent="0.25">
      <c r="A193" s="7" t="s">
        <v>4</v>
      </c>
      <c r="B193" s="9" t="e">
        <f t="shared" ref="B193:K193" si="24">AVERAGE(B188:B192)</f>
        <v>#DIV/0!</v>
      </c>
      <c r="C193" s="10">
        <f t="shared" si="24"/>
        <v>64.111999999999995</v>
      </c>
      <c r="D193" s="8">
        <f t="shared" si="24"/>
        <v>56.120000000000005</v>
      </c>
      <c r="E193" s="11">
        <f t="shared" si="24"/>
        <v>5.6719999999999997</v>
      </c>
      <c r="F193" s="10">
        <f t="shared" si="24"/>
        <v>14.24</v>
      </c>
      <c r="G193" s="8">
        <f t="shared" si="24"/>
        <v>449.59260301140438</v>
      </c>
      <c r="H193" s="8">
        <f t="shared" si="24"/>
        <v>0.91600000000000004</v>
      </c>
      <c r="I193" s="28">
        <f t="shared" si="24"/>
        <v>1.645456995640111E-2</v>
      </c>
      <c r="J193" s="8">
        <f t="shared" si="24"/>
        <v>26.380000000000003</v>
      </c>
      <c r="K193" s="11">
        <f t="shared" si="24"/>
        <v>45.853193172932087</v>
      </c>
    </row>
    <row r="194" spans="1:11" ht="15.75" thickBot="1" x14ac:dyDescent="0.3">
      <c r="A194" s="15" t="s">
        <v>5</v>
      </c>
      <c r="B194" s="16" t="e">
        <f t="shared" ref="B194:K194" si="25">STDEV(B188:B192)</f>
        <v>#DIV/0!</v>
      </c>
      <c r="C194" s="12">
        <f t="shared" si="25"/>
        <v>0.53213720035344525</v>
      </c>
      <c r="D194" s="13">
        <f t="shared" si="25"/>
        <v>0.30813957876261056</v>
      </c>
      <c r="E194" s="14">
        <f t="shared" si="25"/>
        <v>0.15482247898803331</v>
      </c>
      <c r="F194" s="12">
        <f t="shared" si="25"/>
        <v>2.9099828178186828</v>
      </c>
      <c r="G194" s="13">
        <f t="shared" si="25"/>
        <v>84.746937946096224</v>
      </c>
      <c r="H194" s="13">
        <f t="shared" si="25"/>
        <v>0.26829088691194847</v>
      </c>
      <c r="I194" s="29">
        <f t="shared" si="25"/>
        <v>4.7159659198254657E-3</v>
      </c>
      <c r="J194" s="13">
        <f t="shared" si="25"/>
        <v>7.9732051271743982</v>
      </c>
      <c r="K194" s="14">
        <f t="shared" si="25"/>
        <v>11.206868384692546</v>
      </c>
    </row>
  </sheetData>
  <mergeCells count="117">
    <mergeCell ref="B2:B6"/>
    <mergeCell ref="A2:A7"/>
    <mergeCell ref="F3:J3"/>
    <mergeCell ref="A32:A37"/>
    <mergeCell ref="B32:B36"/>
    <mergeCell ref="C32:E33"/>
    <mergeCell ref="F32:K32"/>
    <mergeCell ref="F33:J33"/>
    <mergeCell ref="C34:C36"/>
    <mergeCell ref="D34:D36"/>
    <mergeCell ref="E34:E36"/>
    <mergeCell ref="F34:J34"/>
    <mergeCell ref="F4:J4"/>
    <mergeCell ref="C4:C6"/>
    <mergeCell ref="D4:D6"/>
    <mergeCell ref="E4:E6"/>
    <mergeCell ref="F2:K2"/>
    <mergeCell ref="C2:E3"/>
    <mergeCell ref="A17:A22"/>
    <mergeCell ref="B17:B21"/>
    <mergeCell ref="C17:E18"/>
    <mergeCell ref="F17:K17"/>
    <mergeCell ref="F18:J18"/>
    <mergeCell ref="C19:C21"/>
    <mergeCell ref="D19:D21"/>
    <mergeCell ref="E19:E21"/>
    <mergeCell ref="F19:J19"/>
    <mergeCell ref="A62:A67"/>
    <mergeCell ref="B62:B66"/>
    <mergeCell ref="C62:E63"/>
    <mergeCell ref="F62:K62"/>
    <mergeCell ref="F63:J63"/>
    <mergeCell ref="C64:C66"/>
    <mergeCell ref="D64:D66"/>
    <mergeCell ref="E64:E66"/>
    <mergeCell ref="F64:J64"/>
    <mergeCell ref="A47:A52"/>
    <mergeCell ref="B47:B51"/>
    <mergeCell ref="C47:E48"/>
    <mergeCell ref="F47:K47"/>
    <mergeCell ref="F48:J48"/>
    <mergeCell ref="C49:C51"/>
    <mergeCell ref="D49:D51"/>
    <mergeCell ref="E49:E51"/>
    <mergeCell ref="F49:J49"/>
    <mergeCell ref="A77:A82"/>
    <mergeCell ref="B77:B81"/>
    <mergeCell ref="C77:E78"/>
    <mergeCell ref="F77:K77"/>
    <mergeCell ref="F78:J78"/>
    <mergeCell ref="C79:C81"/>
    <mergeCell ref="D79:D81"/>
    <mergeCell ref="E79:E81"/>
    <mergeCell ref="F79:J79"/>
    <mergeCell ref="A92:A97"/>
    <mergeCell ref="B92:B96"/>
    <mergeCell ref="C92:E93"/>
    <mergeCell ref="F92:K92"/>
    <mergeCell ref="F93:J93"/>
    <mergeCell ref="C94:C96"/>
    <mergeCell ref="D94:D96"/>
    <mergeCell ref="E94:E96"/>
    <mergeCell ref="F94:J94"/>
    <mergeCell ref="A107:A112"/>
    <mergeCell ref="B107:B111"/>
    <mergeCell ref="C107:E108"/>
    <mergeCell ref="F107:K107"/>
    <mergeCell ref="F108:J108"/>
    <mergeCell ref="C109:C111"/>
    <mergeCell ref="D109:D111"/>
    <mergeCell ref="E109:E111"/>
    <mergeCell ref="F109:J109"/>
    <mergeCell ref="A122:A127"/>
    <mergeCell ref="B122:B126"/>
    <mergeCell ref="C122:E123"/>
    <mergeCell ref="F122:K122"/>
    <mergeCell ref="F123:J123"/>
    <mergeCell ref="C124:C126"/>
    <mergeCell ref="D124:D126"/>
    <mergeCell ref="E124:E126"/>
    <mergeCell ref="F124:J124"/>
    <mergeCell ref="A137:A142"/>
    <mergeCell ref="B137:B141"/>
    <mergeCell ref="C137:E138"/>
    <mergeCell ref="F137:K137"/>
    <mergeCell ref="F138:J138"/>
    <mergeCell ref="C139:C141"/>
    <mergeCell ref="D139:D141"/>
    <mergeCell ref="E139:E141"/>
    <mergeCell ref="F139:J139"/>
    <mergeCell ref="A152:A157"/>
    <mergeCell ref="B152:B156"/>
    <mergeCell ref="C152:E153"/>
    <mergeCell ref="F152:K152"/>
    <mergeCell ref="F153:J153"/>
    <mergeCell ref="C154:C156"/>
    <mergeCell ref="D154:D156"/>
    <mergeCell ref="E154:E156"/>
    <mergeCell ref="F154:J154"/>
    <mergeCell ref="A167:A172"/>
    <mergeCell ref="B167:B171"/>
    <mergeCell ref="C167:E168"/>
    <mergeCell ref="F167:K167"/>
    <mergeCell ref="F168:J168"/>
    <mergeCell ref="C169:C171"/>
    <mergeCell ref="D169:D171"/>
    <mergeCell ref="E169:E171"/>
    <mergeCell ref="F169:J169"/>
    <mergeCell ref="A182:A187"/>
    <mergeCell ref="B182:B186"/>
    <mergeCell ref="C182:E183"/>
    <mergeCell ref="F182:K182"/>
    <mergeCell ref="F183:J183"/>
    <mergeCell ref="C184:C186"/>
    <mergeCell ref="D184:D186"/>
    <mergeCell ref="E184:E186"/>
    <mergeCell ref="F184:J18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F1CF-930B-4BC8-9770-5C0ABF28A0AA}">
  <dimension ref="A1:L30"/>
  <sheetViews>
    <sheetView workbookViewId="0">
      <selection activeCell="A7" sqref="A7:A8"/>
    </sheetView>
  </sheetViews>
  <sheetFormatPr baseColWidth="10" defaultColWidth="11.5703125" defaultRowHeight="15" x14ac:dyDescent="0.25"/>
  <cols>
    <col min="1" max="1" width="13.5703125" style="26" customWidth="1"/>
    <col min="2" max="3" width="11.5703125" style="26"/>
    <col min="4" max="9" width="12.28515625" style="26" customWidth="1"/>
    <col min="10" max="10" width="13.28515625" style="26" customWidth="1"/>
    <col min="11" max="12" width="12.28515625" style="26" customWidth="1"/>
    <col min="13" max="16384" width="11.5703125" style="26"/>
  </cols>
  <sheetData>
    <row r="1" spans="1:12" x14ac:dyDescent="0.25">
      <c r="A1" s="63" t="s">
        <v>52</v>
      </c>
      <c r="B1" s="72" t="s">
        <v>51</v>
      </c>
      <c r="C1" s="63" t="s">
        <v>48</v>
      </c>
      <c r="D1" s="58" t="s">
        <v>8</v>
      </c>
      <c r="E1" s="58"/>
      <c r="F1" s="58"/>
      <c r="G1" s="58" t="s">
        <v>0</v>
      </c>
      <c r="H1" s="58"/>
      <c r="I1" s="58"/>
      <c r="J1" s="58"/>
      <c r="K1" s="58"/>
      <c r="L1" s="58"/>
    </row>
    <row r="2" spans="1:12" ht="38.25" x14ac:dyDescent="0.25">
      <c r="A2" s="64"/>
      <c r="B2" s="64"/>
      <c r="C2" s="64"/>
      <c r="D2" s="2" t="s">
        <v>49</v>
      </c>
      <c r="E2" s="2" t="s">
        <v>6</v>
      </c>
      <c r="F2" s="2" t="s">
        <v>7</v>
      </c>
      <c r="G2" s="18" t="s">
        <v>20</v>
      </c>
      <c r="H2" s="18" t="s">
        <v>19</v>
      </c>
      <c r="I2" s="18" t="s">
        <v>22</v>
      </c>
      <c r="J2" s="18" t="s">
        <v>21</v>
      </c>
      <c r="K2" s="18" t="s">
        <v>24</v>
      </c>
      <c r="L2" s="18" t="s">
        <v>50</v>
      </c>
    </row>
    <row r="3" spans="1:12" x14ac:dyDescent="0.25">
      <c r="A3" s="64"/>
      <c r="B3" s="64"/>
      <c r="C3" s="64"/>
      <c r="D3" s="2" t="s">
        <v>44</v>
      </c>
      <c r="E3" s="2" t="s">
        <v>45</v>
      </c>
      <c r="F3" s="2" t="s">
        <v>46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25</v>
      </c>
      <c r="L3" s="2" t="s">
        <v>28</v>
      </c>
    </row>
    <row r="4" spans="1:12" x14ac:dyDescent="0.25">
      <c r="A4" s="65"/>
      <c r="B4" s="65"/>
      <c r="C4" s="65"/>
      <c r="D4" s="2" t="s">
        <v>1</v>
      </c>
      <c r="E4" s="2" t="s">
        <v>1</v>
      </c>
      <c r="F4" s="2" t="s">
        <v>1</v>
      </c>
      <c r="G4" s="2" t="s">
        <v>2</v>
      </c>
      <c r="H4" s="2" t="s">
        <v>11</v>
      </c>
      <c r="I4" s="2" t="s">
        <v>1</v>
      </c>
      <c r="J4" s="2" t="s">
        <v>12</v>
      </c>
      <c r="K4" s="2" t="s">
        <v>3</v>
      </c>
      <c r="L4" s="2" t="s">
        <v>14</v>
      </c>
    </row>
    <row r="5" spans="1:12" x14ac:dyDescent="0.25">
      <c r="A5" s="76" t="s">
        <v>81</v>
      </c>
      <c r="B5" s="76" t="s">
        <v>53</v>
      </c>
      <c r="C5" s="30" t="s">
        <v>4</v>
      </c>
      <c r="D5" s="31">
        <v>64.111999999999995</v>
      </c>
      <c r="E5" s="31">
        <v>56.120000000000005</v>
      </c>
      <c r="F5" s="31">
        <v>5.6719999999999997</v>
      </c>
      <c r="G5" s="32">
        <v>14.24</v>
      </c>
      <c r="H5" s="32">
        <v>449.59260301140438</v>
      </c>
      <c r="I5" s="31">
        <v>0.91600000000000004</v>
      </c>
      <c r="J5" s="33">
        <v>1.645456995640111E-2</v>
      </c>
      <c r="K5" s="34">
        <v>26.380000000000003</v>
      </c>
      <c r="L5" s="34">
        <v>45.853193172932087</v>
      </c>
    </row>
    <row r="6" spans="1:12" x14ac:dyDescent="0.25">
      <c r="A6" s="76"/>
      <c r="B6" s="76"/>
      <c r="C6" s="30" t="s">
        <v>43</v>
      </c>
      <c r="D6" s="31">
        <v>0.53213720035344525</v>
      </c>
      <c r="E6" s="31">
        <v>0.30813957876261056</v>
      </c>
      <c r="F6" s="31">
        <v>0.15482247898803331</v>
      </c>
      <c r="G6" s="32">
        <v>2.9099828178186828</v>
      </c>
      <c r="H6" s="32">
        <v>84.746937946096224</v>
      </c>
      <c r="I6" s="31">
        <v>0.26829088691194847</v>
      </c>
      <c r="J6" s="33">
        <v>4.7159659198254657E-3</v>
      </c>
      <c r="K6" s="34">
        <v>7.9732051271743982</v>
      </c>
      <c r="L6" s="34">
        <v>11.206868384692546</v>
      </c>
    </row>
    <row r="7" spans="1:12" x14ac:dyDescent="0.25">
      <c r="A7" s="76" t="s">
        <v>57</v>
      </c>
      <c r="B7" s="76" t="s">
        <v>54</v>
      </c>
      <c r="C7" s="30" t="s">
        <v>4</v>
      </c>
      <c r="D7" s="31">
        <v>61.426000000000002</v>
      </c>
      <c r="E7" s="31">
        <v>60.625999999999998</v>
      </c>
      <c r="F7" s="31">
        <v>6.9</v>
      </c>
      <c r="G7" s="32">
        <v>19.940000000000001</v>
      </c>
      <c r="H7" s="32">
        <v>453.96344106465421</v>
      </c>
      <c r="I7" s="31">
        <v>0.35599999999999998</v>
      </c>
      <c r="J7" s="33">
        <v>7.7585097106619124E-3</v>
      </c>
      <c r="K7" s="34">
        <v>73.44</v>
      </c>
      <c r="L7" s="34">
        <v>77.082829310508856</v>
      </c>
    </row>
    <row r="8" spans="1:12" x14ac:dyDescent="0.25">
      <c r="A8" s="76"/>
      <c r="B8" s="76"/>
      <c r="C8" s="30" t="s">
        <v>43</v>
      </c>
      <c r="D8" s="31">
        <v>0.13126309458488458</v>
      </c>
      <c r="E8" s="31">
        <v>0.29177045772318966</v>
      </c>
      <c r="F8" s="31">
        <v>0.2441311123146741</v>
      </c>
      <c r="G8" s="32">
        <v>7.9857998973177402</v>
      </c>
      <c r="H8" s="32">
        <v>201.48689437258341</v>
      </c>
      <c r="I8" s="31">
        <v>9.9146356463563665E-2</v>
      </c>
      <c r="J8" s="33">
        <v>2.0731288731750406E-3</v>
      </c>
      <c r="K8" s="34">
        <v>25.972543194689294</v>
      </c>
      <c r="L8" s="34">
        <v>32.690005226342159</v>
      </c>
    </row>
    <row r="9" spans="1:12" x14ac:dyDescent="0.25">
      <c r="A9" s="73" t="s">
        <v>47</v>
      </c>
      <c r="B9" s="73" t="s">
        <v>53</v>
      </c>
      <c r="C9" s="40" t="s">
        <v>4</v>
      </c>
      <c r="D9" s="41">
        <v>67.202000000000012</v>
      </c>
      <c r="E9" s="41">
        <v>65.701999999999998</v>
      </c>
      <c r="F9" s="41">
        <v>14.538</v>
      </c>
      <c r="G9" s="42">
        <v>32.28</v>
      </c>
      <c r="H9" s="42">
        <v>148.38173713493057</v>
      </c>
      <c r="I9" s="41">
        <v>1.2999999999999998</v>
      </c>
      <c r="J9" s="43">
        <v>6.0052508917954814E-2</v>
      </c>
      <c r="K9" s="44">
        <v>30.4</v>
      </c>
      <c r="L9" s="44">
        <v>3.0670020384281416</v>
      </c>
    </row>
    <row r="10" spans="1:12" x14ac:dyDescent="0.25">
      <c r="A10" s="73"/>
      <c r="B10" s="73"/>
      <c r="C10" s="40" t="s">
        <v>43</v>
      </c>
      <c r="D10" s="41">
        <v>1.6445728928813117</v>
      </c>
      <c r="E10" s="41">
        <v>1.1670132818438683</v>
      </c>
      <c r="F10" s="41">
        <v>0.7758028099974893</v>
      </c>
      <c r="G10" s="42">
        <v>5.3082012019138967</v>
      </c>
      <c r="H10" s="42">
        <v>21.063734727002064</v>
      </c>
      <c r="I10" s="41">
        <v>0.16703293088490276</v>
      </c>
      <c r="J10" s="43">
        <v>9.1496038997875735E-3</v>
      </c>
      <c r="K10" s="44">
        <v>7.9284298571659129</v>
      </c>
      <c r="L10" s="44">
        <v>0.92302997279563304</v>
      </c>
    </row>
    <row r="11" spans="1:12" x14ac:dyDescent="0.25">
      <c r="A11" s="73" t="s">
        <v>47</v>
      </c>
      <c r="B11" s="73" t="s">
        <v>54</v>
      </c>
      <c r="C11" s="40" t="s">
        <v>4</v>
      </c>
      <c r="D11" s="41">
        <v>67.23</v>
      </c>
      <c r="E11" s="41">
        <v>63.955999999999996</v>
      </c>
      <c r="F11" s="41">
        <v>14.666</v>
      </c>
      <c r="G11" s="42">
        <v>34.880000000000003</v>
      </c>
      <c r="H11" s="42">
        <v>159.41590626079147</v>
      </c>
      <c r="I11" s="41">
        <v>1.55</v>
      </c>
      <c r="J11" s="43">
        <v>7.1845834324217206E-2</v>
      </c>
      <c r="K11" s="44">
        <v>36.92</v>
      </c>
      <c r="L11" s="44">
        <v>3.6594943966083804</v>
      </c>
    </row>
    <row r="12" spans="1:12" x14ac:dyDescent="0.25">
      <c r="A12" s="73"/>
      <c r="B12" s="73"/>
      <c r="C12" s="40" t="s">
        <v>43</v>
      </c>
      <c r="D12" s="41">
        <v>3.120520789868253</v>
      </c>
      <c r="E12" s="41">
        <v>2.8940680710722755</v>
      </c>
      <c r="F12" s="41">
        <v>0.9311444571064148</v>
      </c>
      <c r="G12" s="42">
        <v>3.5059948659403357</v>
      </c>
      <c r="H12" s="42">
        <v>28.752004241755234</v>
      </c>
      <c r="I12" s="41">
        <v>0.14106735979665888</v>
      </c>
      <c r="J12" s="43">
        <v>4.7394835214283944E-3</v>
      </c>
      <c r="K12" s="44">
        <v>8.1603921474399801</v>
      </c>
      <c r="L12" s="44">
        <v>1.0096736607493244</v>
      </c>
    </row>
    <row r="13" spans="1:12" x14ac:dyDescent="0.25">
      <c r="A13" s="73" t="s">
        <v>47</v>
      </c>
      <c r="B13" s="73" t="s">
        <v>55</v>
      </c>
      <c r="C13" s="40" t="s">
        <v>4</v>
      </c>
      <c r="D13" s="41">
        <v>68.216000000000008</v>
      </c>
      <c r="E13" s="41">
        <v>67.192000000000007</v>
      </c>
      <c r="F13" s="41">
        <v>14.231999999999999</v>
      </c>
      <c r="G13" s="42">
        <v>21.779999999999998</v>
      </c>
      <c r="H13" s="42">
        <v>102.71211957027177</v>
      </c>
      <c r="I13" s="41">
        <v>1.298</v>
      </c>
      <c r="J13" s="43">
        <v>5.8383448275862074E-2</v>
      </c>
      <c r="K13" s="44">
        <v>24.18</v>
      </c>
      <c r="L13" s="44">
        <v>2.5285573300272999</v>
      </c>
    </row>
    <row r="14" spans="1:12" x14ac:dyDescent="0.25">
      <c r="A14" s="73"/>
      <c r="B14" s="73"/>
      <c r="C14" s="40" t="s">
        <v>43</v>
      </c>
      <c r="D14" s="41">
        <v>2.3888135130227326</v>
      </c>
      <c r="E14" s="41">
        <v>2.6714733762476466</v>
      </c>
      <c r="F14" s="41">
        <v>0.53006603362222682</v>
      </c>
      <c r="G14" s="42">
        <v>2.7905196648653363</v>
      </c>
      <c r="H14" s="42">
        <v>9.2378838303797259</v>
      </c>
      <c r="I14" s="41">
        <v>0.1962651268055538</v>
      </c>
      <c r="J14" s="43">
        <v>7.2414974540646456E-3</v>
      </c>
      <c r="K14" s="44">
        <v>3.7459311259017998</v>
      </c>
      <c r="L14" s="44">
        <v>0.30698729037453754</v>
      </c>
    </row>
    <row r="15" spans="1:12" x14ac:dyDescent="0.25">
      <c r="A15" s="74" t="s">
        <v>61</v>
      </c>
      <c r="B15" s="75" t="s">
        <v>53</v>
      </c>
      <c r="C15" s="35" t="s">
        <v>4</v>
      </c>
      <c r="D15" s="36">
        <v>74.904000000000011</v>
      </c>
      <c r="E15" s="36">
        <v>69.698000000000008</v>
      </c>
      <c r="F15" s="36">
        <v>12.646000000000001</v>
      </c>
      <c r="G15" s="37">
        <v>9.6800000000000015</v>
      </c>
      <c r="H15" s="37">
        <v>54.203961235147823</v>
      </c>
      <c r="I15" s="36">
        <v>1.5980000000000001</v>
      </c>
      <c r="J15" s="38">
        <v>6.4254300435988912E-2</v>
      </c>
      <c r="K15" s="39">
        <v>1.9799999999999998</v>
      </c>
      <c r="L15" s="39">
        <v>0.28843777192013142</v>
      </c>
    </row>
    <row r="16" spans="1:12" x14ac:dyDescent="0.25">
      <c r="A16" s="75"/>
      <c r="B16" s="75"/>
      <c r="C16" s="35" t="s">
        <v>43</v>
      </c>
      <c r="D16" s="36">
        <v>9.4725645946596249</v>
      </c>
      <c r="E16" s="36">
        <v>9.4201204875521487</v>
      </c>
      <c r="F16" s="36">
        <v>0.76024995889509916</v>
      </c>
      <c r="G16" s="37">
        <v>1.4669696656713753</v>
      </c>
      <c r="H16" s="37">
        <v>13.860504414480395</v>
      </c>
      <c r="I16" s="36">
        <v>0.1329285522376589</v>
      </c>
      <c r="J16" s="38">
        <v>8.2496542155687802E-3</v>
      </c>
      <c r="K16" s="39">
        <v>0.53572380943915565</v>
      </c>
      <c r="L16" s="39">
        <v>0.13848474213708245</v>
      </c>
    </row>
    <row r="17" spans="1:12" x14ac:dyDescent="0.25">
      <c r="A17" s="74" t="s">
        <v>61</v>
      </c>
      <c r="B17" s="75" t="s">
        <v>59</v>
      </c>
      <c r="C17" s="35" t="s">
        <v>4</v>
      </c>
      <c r="D17" s="36">
        <v>79.298000000000002</v>
      </c>
      <c r="E17" s="36">
        <v>77.801999999999992</v>
      </c>
      <c r="F17" s="36">
        <v>11.553999999999998</v>
      </c>
      <c r="G17" s="37">
        <v>17.134</v>
      </c>
      <c r="H17" s="37">
        <v>104.78704081670574</v>
      </c>
      <c r="I17" s="36">
        <v>1.752</v>
      </c>
      <c r="J17" s="38">
        <v>6.4045596512088784E-2</v>
      </c>
      <c r="K17" s="39">
        <v>3.1399999999999997</v>
      </c>
      <c r="L17" s="39">
        <v>0.50921141870027975</v>
      </c>
    </row>
    <row r="18" spans="1:12" x14ac:dyDescent="0.25">
      <c r="A18" s="75"/>
      <c r="B18" s="75"/>
      <c r="C18" s="35" t="s">
        <v>43</v>
      </c>
      <c r="D18" s="36">
        <v>2.4146366186240091</v>
      </c>
      <c r="E18" s="36">
        <v>1.9798914111637547</v>
      </c>
      <c r="F18" s="36">
        <v>0.48065580200388747</v>
      </c>
      <c r="G18" s="37">
        <v>3.4590938119686689</v>
      </c>
      <c r="H18" s="37">
        <v>15.854155977964959</v>
      </c>
      <c r="I18" s="36">
        <v>0.48339424903488371</v>
      </c>
      <c r="J18" s="38">
        <v>1.6824150547723661E-2</v>
      </c>
      <c r="K18" s="39">
        <v>1.4724129855444772</v>
      </c>
      <c r="L18" s="39">
        <v>0.18214628146459563</v>
      </c>
    </row>
    <row r="19" spans="1:12" x14ac:dyDescent="0.25">
      <c r="A19" s="74" t="s">
        <v>61</v>
      </c>
      <c r="B19" s="75" t="s">
        <v>58</v>
      </c>
      <c r="C19" s="35" t="s">
        <v>4</v>
      </c>
      <c r="D19" s="36">
        <v>77.878</v>
      </c>
      <c r="E19" s="36">
        <v>75.902000000000001</v>
      </c>
      <c r="F19" s="36">
        <v>12.034000000000002</v>
      </c>
      <c r="G19" s="37">
        <v>17.68</v>
      </c>
      <c r="H19" s="37">
        <v>102.98015303409474</v>
      </c>
      <c r="I19" s="36">
        <v>1.3580000000000001</v>
      </c>
      <c r="J19" s="38">
        <v>5.1989726516052326E-2</v>
      </c>
      <c r="K19" s="39">
        <v>4.3400000000000007</v>
      </c>
      <c r="L19" s="39">
        <v>0.67206692849804806</v>
      </c>
    </row>
    <row r="20" spans="1:12" x14ac:dyDescent="0.25">
      <c r="A20" s="75"/>
      <c r="B20" s="75"/>
      <c r="C20" s="35" t="s">
        <v>43</v>
      </c>
      <c r="D20" s="36">
        <v>1.9778700665109394</v>
      </c>
      <c r="E20" s="36">
        <v>3.2212373399052727</v>
      </c>
      <c r="F20" s="36">
        <v>0.59718506344348554</v>
      </c>
      <c r="G20" s="37">
        <v>1.5106290080625362</v>
      </c>
      <c r="H20" s="37">
        <v>13.872305141804832</v>
      </c>
      <c r="I20" s="36">
        <v>0.12214745187681976</v>
      </c>
      <c r="J20" s="38">
        <v>7.0632211854629832E-3</v>
      </c>
      <c r="K20" s="39">
        <v>0.98640762365261137</v>
      </c>
      <c r="L20" s="39">
        <v>0.20535356584958561</v>
      </c>
    </row>
    <row r="21" spans="1:12" x14ac:dyDescent="0.25">
      <c r="A21" s="74" t="s">
        <v>61</v>
      </c>
      <c r="B21" s="75" t="s">
        <v>60</v>
      </c>
      <c r="C21" s="35" t="s">
        <v>4</v>
      </c>
      <c r="D21" s="36">
        <v>79.525999999999996</v>
      </c>
      <c r="E21" s="36">
        <v>79.062000000000012</v>
      </c>
      <c r="F21" s="36">
        <v>12.000000000000002</v>
      </c>
      <c r="G21" s="37">
        <v>17.600000000000001</v>
      </c>
      <c r="H21" s="37">
        <v>101.13097964736851</v>
      </c>
      <c r="I21" s="36">
        <v>1.3260000000000001</v>
      </c>
      <c r="J21" s="38">
        <v>5.0921411018628612E-2</v>
      </c>
      <c r="K21" s="39">
        <v>4.82</v>
      </c>
      <c r="L21" s="39">
        <v>0.73575744024719358</v>
      </c>
    </row>
    <row r="22" spans="1:12" x14ac:dyDescent="0.25">
      <c r="A22" s="75"/>
      <c r="B22" s="75"/>
      <c r="C22" s="35" t="s">
        <v>43</v>
      </c>
      <c r="D22" s="36">
        <v>1.8322336095596523</v>
      </c>
      <c r="E22" s="36">
        <v>7.0601324350184811</v>
      </c>
      <c r="F22" s="36">
        <v>0.67275552766216618</v>
      </c>
      <c r="G22" s="37">
        <v>1.5297058540778352</v>
      </c>
      <c r="H22" s="37">
        <v>14.776289272944254</v>
      </c>
      <c r="I22" s="36">
        <v>0.32761257607118766</v>
      </c>
      <c r="J22" s="38">
        <v>1.5640714746740239E-2</v>
      </c>
      <c r="K22" s="39">
        <v>0.90939540355117154</v>
      </c>
      <c r="L22" s="39">
        <v>0.18953770971283895</v>
      </c>
    </row>
    <row r="23" spans="1:12" x14ac:dyDescent="0.25">
      <c r="A23" s="78" t="s">
        <v>62</v>
      </c>
      <c r="B23" s="77" t="s">
        <v>55</v>
      </c>
      <c r="C23" s="46" t="s">
        <v>4</v>
      </c>
      <c r="D23" s="47">
        <v>68.003999999999991</v>
      </c>
      <c r="E23" s="47">
        <v>66.085999999999984</v>
      </c>
      <c r="F23" s="47">
        <v>18.61</v>
      </c>
      <c r="G23" s="48">
        <v>35.520000000000003</v>
      </c>
      <c r="H23" s="48">
        <v>99.175784539398052</v>
      </c>
      <c r="I23" s="47">
        <v>1.81</v>
      </c>
      <c r="J23" s="49">
        <v>0.10768139516448674</v>
      </c>
      <c r="K23" s="50">
        <v>26.059999999999995</v>
      </c>
      <c r="L23" s="50">
        <v>1.2727406553534897</v>
      </c>
    </row>
    <row r="24" spans="1:12" x14ac:dyDescent="0.25">
      <c r="A24" s="77"/>
      <c r="B24" s="77"/>
      <c r="C24" s="46" t="s">
        <v>43</v>
      </c>
      <c r="D24" s="47">
        <v>3.2577492230065834</v>
      </c>
      <c r="E24" s="47">
        <v>2.565605191762752</v>
      </c>
      <c r="F24" s="47">
        <v>0.808084154033477</v>
      </c>
      <c r="G24" s="48">
        <v>4.6348678514063097</v>
      </c>
      <c r="H24" s="48">
        <v>17.673354552554578</v>
      </c>
      <c r="I24" s="47">
        <v>0.49132473986152947</v>
      </c>
      <c r="J24" s="49">
        <v>3.3630838526688779E-2</v>
      </c>
      <c r="K24" s="50">
        <v>8.1257615027762249</v>
      </c>
      <c r="L24" s="50">
        <v>0.56222272636404524</v>
      </c>
    </row>
    <row r="25" spans="1:12" ht="14.45" customHeight="1" x14ac:dyDescent="0.25">
      <c r="A25" s="78" t="s">
        <v>62</v>
      </c>
      <c r="B25" s="77" t="s">
        <v>64</v>
      </c>
      <c r="C25" s="46" t="s">
        <v>4</v>
      </c>
      <c r="D25" s="47">
        <v>71.352000000000004</v>
      </c>
      <c r="E25" s="47">
        <v>67.378</v>
      </c>
      <c r="F25" s="47">
        <v>16.848000000000003</v>
      </c>
      <c r="G25" s="48">
        <v>31.82</v>
      </c>
      <c r="H25" s="48">
        <v>105.90966594209092</v>
      </c>
      <c r="I25" s="47">
        <v>1.1199999999999999</v>
      </c>
      <c r="J25" s="49">
        <v>5.9034736424891009E-2</v>
      </c>
      <c r="K25" s="50">
        <v>8.98</v>
      </c>
      <c r="L25" s="50">
        <v>0.55643826541681152</v>
      </c>
    </row>
    <row r="26" spans="1:12" x14ac:dyDescent="0.25">
      <c r="A26" s="77"/>
      <c r="B26" s="77"/>
      <c r="C26" s="46" t="s">
        <v>43</v>
      </c>
      <c r="D26" s="47">
        <v>4.0469581169070681</v>
      </c>
      <c r="E26" s="47">
        <v>8.7826971939148546</v>
      </c>
      <c r="F26" s="47">
        <v>1.3010649484172572</v>
      </c>
      <c r="G26" s="48">
        <v>21.297582022379917</v>
      </c>
      <c r="H26" s="48">
        <v>79.202171475696801</v>
      </c>
      <c r="I26" s="47">
        <v>0.4686683262180199</v>
      </c>
      <c r="J26" s="49">
        <v>2.3175588485129236E-2</v>
      </c>
      <c r="K26" s="50">
        <v>4.7156123674449741</v>
      </c>
      <c r="L26" s="50">
        <v>0.339809610346758</v>
      </c>
    </row>
    <row r="27" spans="1:12" ht="14.45" customHeight="1" x14ac:dyDescent="0.25">
      <c r="A27" s="78" t="s">
        <v>62</v>
      </c>
      <c r="B27" s="77" t="s">
        <v>63</v>
      </c>
      <c r="C27" s="46" t="s">
        <v>4</v>
      </c>
      <c r="D27" s="47">
        <v>69.44</v>
      </c>
      <c r="E27" s="47">
        <v>65.521999999999991</v>
      </c>
      <c r="F27" s="47">
        <v>11.553999999999998</v>
      </c>
      <c r="G27" s="48">
        <v>57.9</v>
      </c>
      <c r="H27" s="48">
        <v>413.10960273894915</v>
      </c>
      <c r="I27" s="47">
        <v>1.4279999999999999</v>
      </c>
      <c r="J27" s="49">
        <v>5.2268569163694024E-2</v>
      </c>
      <c r="K27" s="50">
        <v>61.239999999999995</v>
      </c>
      <c r="L27" s="50">
        <v>11.941916904099868</v>
      </c>
    </row>
    <row r="28" spans="1:12" x14ac:dyDescent="0.25">
      <c r="A28" s="77"/>
      <c r="B28" s="77"/>
      <c r="C28" s="46" t="s">
        <v>43</v>
      </c>
      <c r="D28" s="47">
        <v>2.3261878685953148</v>
      </c>
      <c r="E28" s="47">
        <v>2.1218788843852527</v>
      </c>
      <c r="F28" s="47">
        <v>0.48065580200388747</v>
      </c>
      <c r="G28" s="48">
        <v>14.330561747538015</v>
      </c>
      <c r="H28" s="48">
        <v>130.63965626959174</v>
      </c>
      <c r="I28" s="47">
        <v>0.21799082549501941</v>
      </c>
      <c r="J28" s="49">
        <v>7.9067430457124086E-3</v>
      </c>
      <c r="K28" s="50">
        <v>24.308187920945503</v>
      </c>
      <c r="L28" s="50">
        <v>5.4328844530595761</v>
      </c>
    </row>
    <row r="29" spans="1:12" ht="14.45" customHeight="1" x14ac:dyDescent="0.25">
      <c r="A29" s="78" t="s">
        <v>62</v>
      </c>
      <c r="B29" s="77" t="s">
        <v>65</v>
      </c>
      <c r="C29" s="46" t="s">
        <v>4</v>
      </c>
      <c r="D29" s="47">
        <v>67.3</v>
      </c>
      <c r="E29" s="47">
        <v>64.563999999999993</v>
      </c>
      <c r="F29" s="47">
        <v>18.934000000000001</v>
      </c>
      <c r="G29" s="48">
        <v>62.068000000000005</v>
      </c>
      <c r="H29" s="48">
        <v>166.52141238624526</v>
      </c>
      <c r="I29" s="47">
        <v>2.0040000000000004</v>
      </c>
      <c r="J29" s="49">
        <v>0.12072104637336505</v>
      </c>
      <c r="K29" s="50">
        <v>12.02</v>
      </c>
      <c r="L29" s="50">
        <v>0.52498626324120434</v>
      </c>
    </row>
    <row r="30" spans="1:12" x14ac:dyDescent="0.25">
      <c r="A30" s="77"/>
      <c r="B30" s="77"/>
      <c r="C30" s="46" t="s">
        <v>43</v>
      </c>
      <c r="D30" s="47">
        <v>1.0706073042904194</v>
      </c>
      <c r="E30" s="47">
        <v>0.52946199108151437</v>
      </c>
      <c r="F30" s="47">
        <v>0.64709350174453117</v>
      </c>
      <c r="G30" s="48">
        <v>16.791727725281824</v>
      </c>
      <c r="H30" s="48">
        <v>37.327273496229644</v>
      </c>
      <c r="I30" s="47">
        <v>0.38526614177734136</v>
      </c>
      <c r="J30" s="49">
        <v>2.5919655800976205E-2</v>
      </c>
      <c r="K30" s="50">
        <v>6.2687319291863206</v>
      </c>
      <c r="L30" s="50">
        <v>0.22897722682237623</v>
      </c>
    </row>
  </sheetData>
  <mergeCells count="31">
    <mergeCell ref="A25:A26"/>
    <mergeCell ref="A27:A28"/>
    <mergeCell ref="A29:A30"/>
    <mergeCell ref="B25:B26"/>
    <mergeCell ref="B27:B28"/>
    <mergeCell ref="B29:B30"/>
    <mergeCell ref="B17:B18"/>
    <mergeCell ref="B19:B20"/>
    <mergeCell ref="B21:B22"/>
    <mergeCell ref="B23:B24"/>
    <mergeCell ref="A17:A18"/>
    <mergeCell ref="A19:A20"/>
    <mergeCell ref="A21:A22"/>
    <mergeCell ref="A23:A2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D1:F1"/>
    <mergeCell ref="G1:L1"/>
    <mergeCell ref="A1:A4"/>
    <mergeCell ref="B1:B4"/>
    <mergeCell ref="C1:C4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EDA1-EAEF-4295-A26D-79D9CF4F6241}">
  <dimension ref="A1:L39"/>
  <sheetViews>
    <sheetView topLeftCell="A5" zoomScale="70" zoomScaleNormal="70" workbookViewId="0">
      <selection activeCell="U34" sqref="U34"/>
    </sheetView>
  </sheetViews>
  <sheetFormatPr baseColWidth="10" defaultColWidth="11.5703125" defaultRowHeight="15" x14ac:dyDescent="0.25"/>
  <cols>
    <col min="1" max="1" width="25.28515625" style="26" customWidth="1"/>
    <col min="2" max="3" width="11.5703125" style="26"/>
    <col min="4" max="9" width="12.28515625" style="26" customWidth="1"/>
    <col min="10" max="10" width="13.28515625" style="26" customWidth="1"/>
    <col min="11" max="12" width="12.28515625" style="26" customWidth="1"/>
    <col min="13" max="16384" width="11.5703125" style="26"/>
  </cols>
  <sheetData>
    <row r="1" spans="1:12" x14ac:dyDescent="0.25">
      <c r="A1" s="72" t="s">
        <v>67</v>
      </c>
      <c r="B1" s="72" t="s">
        <v>51</v>
      </c>
      <c r="C1" s="27"/>
      <c r="D1" s="58" t="s">
        <v>8</v>
      </c>
      <c r="E1" s="58"/>
      <c r="F1" s="58"/>
      <c r="G1" s="58" t="s">
        <v>0</v>
      </c>
      <c r="H1" s="58"/>
      <c r="I1" s="58"/>
      <c r="J1" s="58"/>
      <c r="K1" s="58"/>
      <c r="L1" s="58"/>
    </row>
    <row r="2" spans="1:12" ht="38.25" x14ac:dyDescent="0.25">
      <c r="A2" s="64"/>
      <c r="B2" s="64"/>
      <c r="C2" s="24"/>
      <c r="D2" s="2" t="s">
        <v>49</v>
      </c>
      <c r="E2" s="2" t="s">
        <v>6</v>
      </c>
      <c r="F2" s="2" t="s">
        <v>7</v>
      </c>
      <c r="G2" s="18" t="s">
        <v>20</v>
      </c>
      <c r="H2" s="18" t="s">
        <v>19</v>
      </c>
      <c r="I2" s="18" t="s">
        <v>22</v>
      </c>
      <c r="J2" s="18" t="s">
        <v>21</v>
      </c>
      <c r="K2" s="18" t="s">
        <v>24</v>
      </c>
      <c r="L2" s="18" t="s">
        <v>50</v>
      </c>
    </row>
    <row r="3" spans="1:12" ht="14.45" customHeight="1" x14ac:dyDescent="0.25">
      <c r="A3" s="64"/>
      <c r="B3" s="64"/>
      <c r="C3" s="24"/>
      <c r="D3" s="2" t="s">
        <v>44</v>
      </c>
      <c r="E3" s="2" t="s">
        <v>45</v>
      </c>
      <c r="F3" s="2" t="s">
        <v>46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25</v>
      </c>
      <c r="L3" s="2" t="s">
        <v>28</v>
      </c>
    </row>
    <row r="4" spans="1:12" x14ac:dyDescent="0.25">
      <c r="A4" s="65"/>
      <c r="B4" s="65"/>
      <c r="C4" s="25"/>
      <c r="D4" s="2" t="s">
        <v>1</v>
      </c>
      <c r="E4" s="2" t="s">
        <v>1</v>
      </c>
      <c r="F4" s="2" t="s">
        <v>1</v>
      </c>
      <c r="G4" s="2" t="s">
        <v>2</v>
      </c>
      <c r="H4" s="2" t="s">
        <v>11</v>
      </c>
      <c r="I4" s="2" t="s">
        <v>1</v>
      </c>
      <c r="J4" s="2" t="s">
        <v>12</v>
      </c>
      <c r="K4" s="2" t="s">
        <v>3</v>
      </c>
      <c r="L4" s="2" t="s">
        <v>14</v>
      </c>
    </row>
    <row r="5" spans="1:12" x14ac:dyDescent="0.25">
      <c r="A5" s="30" t="s">
        <v>56</v>
      </c>
      <c r="B5" s="30" t="s">
        <v>53</v>
      </c>
      <c r="C5" s="30" t="s">
        <v>81</v>
      </c>
      <c r="D5" s="31">
        <v>64.111999999999995</v>
      </c>
      <c r="E5" s="31">
        <v>56.120000000000005</v>
      </c>
      <c r="F5" s="31">
        <v>5.6719999999999997</v>
      </c>
      <c r="G5" s="32">
        <v>14.24</v>
      </c>
      <c r="H5" s="32">
        <v>449.59260301140438</v>
      </c>
      <c r="I5" s="31">
        <v>0.91600000000000004</v>
      </c>
      <c r="J5" s="33">
        <v>1.645456995640111E-2</v>
      </c>
      <c r="K5" s="34">
        <v>26.380000000000003</v>
      </c>
      <c r="L5" s="34">
        <v>45.853193172932087</v>
      </c>
    </row>
    <row r="6" spans="1:12" x14ac:dyDescent="0.25">
      <c r="A6" s="30" t="s">
        <v>56</v>
      </c>
      <c r="B6" s="30" t="s">
        <v>54</v>
      </c>
      <c r="C6" s="30" t="s">
        <v>82</v>
      </c>
      <c r="D6" s="31">
        <v>61.426000000000002</v>
      </c>
      <c r="E6" s="31">
        <v>60.625999999999998</v>
      </c>
      <c r="F6" s="31">
        <v>6.9</v>
      </c>
      <c r="G6" s="32">
        <v>19.940000000000001</v>
      </c>
      <c r="H6" s="32">
        <v>453.96344106465421</v>
      </c>
      <c r="I6" s="31">
        <v>0.35599999999999998</v>
      </c>
      <c r="J6" s="33">
        <v>7.7585097106619124E-3</v>
      </c>
      <c r="K6" s="34">
        <v>73.44</v>
      </c>
      <c r="L6" s="34">
        <v>77.082829310508856</v>
      </c>
    </row>
    <row r="7" spans="1:12" x14ac:dyDescent="0.25">
      <c r="A7" s="40" t="s">
        <v>47</v>
      </c>
      <c r="B7" s="40" t="s">
        <v>53</v>
      </c>
      <c r="C7" s="40" t="s">
        <v>73</v>
      </c>
      <c r="D7" s="41">
        <v>67.202000000000012</v>
      </c>
      <c r="E7" s="41">
        <v>65.701999999999998</v>
      </c>
      <c r="F7" s="41">
        <v>14.538</v>
      </c>
      <c r="G7" s="42">
        <v>32.28</v>
      </c>
      <c r="H7" s="42">
        <v>148.38173713493057</v>
      </c>
      <c r="I7" s="41">
        <v>1.2999999999999998</v>
      </c>
      <c r="J7" s="43">
        <v>6.0052508917954814E-2</v>
      </c>
      <c r="K7" s="44">
        <v>30.4</v>
      </c>
      <c r="L7" s="44">
        <v>3.0670020384281416</v>
      </c>
    </row>
    <row r="8" spans="1:12" x14ac:dyDescent="0.25">
      <c r="A8" s="40" t="s">
        <v>47</v>
      </c>
      <c r="B8" s="40" t="s">
        <v>54</v>
      </c>
      <c r="C8" s="40" t="s">
        <v>75</v>
      </c>
      <c r="D8" s="41">
        <v>67.23</v>
      </c>
      <c r="E8" s="41">
        <v>63.955999999999996</v>
      </c>
      <c r="F8" s="41">
        <v>14.666</v>
      </c>
      <c r="G8" s="42">
        <v>34.880000000000003</v>
      </c>
      <c r="H8" s="42">
        <v>159.41590626079147</v>
      </c>
      <c r="I8" s="41">
        <v>1.55</v>
      </c>
      <c r="J8" s="43">
        <v>7.1845834324217206E-2</v>
      </c>
      <c r="K8" s="44">
        <v>36.92</v>
      </c>
      <c r="L8" s="44">
        <v>3.6594943966083804</v>
      </c>
    </row>
    <row r="9" spans="1:12" x14ac:dyDescent="0.25">
      <c r="A9" s="40" t="s">
        <v>47</v>
      </c>
      <c r="B9" s="40" t="s">
        <v>55</v>
      </c>
      <c r="C9" s="40" t="s">
        <v>74</v>
      </c>
      <c r="D9" s="41">
        <v>68.216000000000008</v>
      </c>
      <c r="E9" s="41">
        <v>67.192000000000007</v>
      </c>
      <c r="F9" s="41">
        <v>14.231999999999999</v>
      </c>
      <c r="G9" s="42">
        <v>21.779999999999998</v>
      </c>
      <c r="H9" s="42">
        <v>102.71211957027177</v>
      </c>
      <c r="I9" s="41">
        <v>1.298</v>
      </c>
      <c r="J9" s="43">
        <v>5.8383448275862074E-2</v>
      </c>
      <c r="K9" s="44">
        <v>24.18</v>
      </c>
      <c r="L9" s="44">
        <v>2.5285573300272999</v>
      </c>
    </row>
    <row r="10" spans="1:12" x14ac:dyDescent="0.25">
      <c r="A10" s="45" t="s">
        <v>66</v>
      </c>
      <c r="B10" s="35" t="s">
        <v>53</v>
      </c>
      <c r="C10" s="35" t="s">
        <v>69</v>
      </c>
      <c r="D10" s="36">
        <v>74.904000000000011</v>
      </c>
      <c r="E10" s="36">
        <v>69.698000000000008</v>
      </c>
      <c r="F10" s="36">
        <v>12.646000000000001</v>
      </c>
      <c r="G10" s="37">
        <v>9.6800000000000015</v>
      </c>
      <c r="H10" s="37">
        <v>54.203961235147823</v>
      </c>
      <c r="I10" s="36">
        <v>1.5980000000000001</v>
      </c>
      <c r="J10" s="38">
        <v>6.4254300435988912E-2</v>
      </c>
      <c r="K10" s="39">
        <v>1.9799999999999998</v>
      </c>
      <c r="L10" s="39">
        <v>0.28843777192013142</v>
      </c>
    </row>
    <row r="11" spans="1:12" ht="14.45" customHeight="1" x14ac:dyDescent="0.25">
      <c r="A11" s="45" t="s">
        <v>66</v>
      </c>
      <c r="B11" s="35" t="s">
        <v>59</v>
      </c>
      <c r="C11" s="35" t="s">
        <v>70</v>
      </c>
      <c r="D11" s="36">
        <v>79.298000000000002</v>
      </c>
      <c r="E11" s="36">
        <v>77.801999999999992</v>
      </c>
      <c r="F11" s="36">
        <v>11.553999999999998</v>
      </c>
      <c r="G11" s="37">
        <v>17.134</v>
      </c>
      <c r="H11" s="37">
        <v>104.78704081670574</v>
      </c>
      <c r="I11" s="36">
        <v>1.752</v>
      </c>
      <c r="J11" s="38">
        <v>6.4045596512088784E-2</v>
      </c>
      <c r="K11" s="39">
        <v>3.1399999999999997</v>
      </c>
      <c r="L11" s="39">
        <v>0.50921141870027975</v>
      </c>
    </row>
    <row r="12" spans="1:12" ht="14.45" customHeight="1" x14ac:dyDescent="0.25">
      <c r="A12" s="45" t="s">
        <v>66</v>
      </c>
      <c r="B12" s="35" t="s">
        <v>58</v>
      </c>
      <c r="C12" s="35" t="s">
        <v>71</v>
      </c>
      <c r="D12" s="36">
        <v>77.878</v>
      </c>
      <c r="E12" s="36">
        <v>75.902000000000001</v>
      </c>
      <c r="F12" s="36">
        <v>12.034000000000002</v>
      </c>
      <c r="G12" s="37">
        <v>17.68</v>
      </c>
      <c r="H12" s="37">
        <v>102.98015303409474</v>
      </c>
      <c r="I12" s="36">
        <v>1.3580000000000001</v>
      </c>
      <c r="J12" s="38">
        <v>5.1989726516052326E-2</v>
      </c>
      <c r="K12" s="39">
        <v>4.3400000000000007</v>
      </c>
      <c r="L12" s="39">
        <v>0.67206692849804806</v>
      </c>
    </row>
    <row r="13" spans="1:12" ht="14.45" customHeight="1" x14ac:dyDescent="0.25">
      <c r="A13" s="45" t="s">
        <v>66</v>
      </c>
      <c r="B13" s="35" t="s">
        <v>60</v>
      </c>
      <c r="C13" s="35" t="s">
        <v>72</v>
      </c>
      <c r="D13" s="36">
        <v>79.525999999999996</v>
      </c>
      <c r="E13" s="36">
        <v>79.062000000000012</v>
      </c>
      <c r="F13" s="36">
        <v>12.000000000000002</v>
      </c>
      <c r="G13" s="37">
        <v>17.600000000000001</v>
      </c>
      <c r="H13" s="37">
        <v>101.13097964736851</v>
      </c>
      <c r="I13" s="36">
        <v>1.3260000000000001</v>
      </c>
      <c r="J13" s="38">
        <v>5.0921411018628612E-2</v>
      </c>
      <c r="K13" s="39">
        <v>4.82</v>
      </c>
      <c r="L13" s="39">
        <v>0.73575744024719358</v>
      </c>
    </row>
    <row r="14" spans="1:12" ht="14.45" customHeight="1" x14ac:dyDescent="0.25">
      <c r="A14" s="51" t="s">
        <v>62</v>
      </c>
      <c r="B14" s="46" t="s">
        <v>55</v>
      </c>
      <c r="C14" s="46" t="s">
        <v>76</v>
      </c>
      <c r="D14" s="47">
        <v>68.003999999999991</v>
      </c>
      <c r="E14" s="47">
        <v>66.085999999999984</v>
      </c>
      <c r="F14" s="47">
        <v>18.61</v>
      </c>
      <c r="G14" s="48">
        <v>35.520000000000003</v>
      </c>
      <c r="H14" s="48">
        <v>99.175784539398052</v>
      </c>
      <c r="I14" s="47">
        <v>1.81</v>
      </c>
      <c r="J14" s="49">
        <v>0.10768139516448674</v>
      </c>
      <c r="K14" s="50">
        <v>26.059999999999995</v>
      </c>
      <c r="L14" s="50">
        <v>1.2727406553534897</v>
      </c>
    </row>
    <row r="15" spans="1:12" ht="14.45" customHeight="1" x14ac:dyDescent="0.25">
      <c r="A15" s="51" t="s">
        <v>62</v>
      </c>
      <c r="B15" s="46" t="s">
        <v>64</v>
      </c>
      <c r="C15" s="46" t="s">
        <v>77</v>
      </c>
      <c r="D15" s="47">
        <v>71.352000000000004</v>
      </c>
      <c r="E15" s="47">
        <v>67.378</v>
      </c>
      <c r="F15" s="47">
        <v>16.848000000000003</v>
      </c>
      <c r="G15" s="48">
        <v>31.82</v>
      </c>
      <c r="H15" s="48">
        <v>105.90966594209092</v>
      </c>
      <c r="I15" s="47">
        <v>1.1199999999999999</v>
      </c>
      <c r="J15" s="49">
        <v>5.9034736424891009E-2</v>
      </c>
      <c r="K15" s="50">
        <v>8.98</v>
      </c>
      <c r="L15" s="50">
        <v>0.55643826541681152</v>
      </c>
    </row>
    <row r="16" spans="1:12" ht="14.45" customHeight="1" x14ac:dyDescent="0.25">
      <c r="A16" s="51" t="s">
        <v>62</v>
      </c>
      <c r="B16" s="46" t="s">
        <v>63</v>
      </c>
      <c r="C16" s="46" t="s">
        <v>78</v>
      </c>
      <c r="D16" s="47">
        <v>69.44</v>
      </c>
      <c r="E16" s="47">
        <v>65.521999999999991</v>
      </c>
      <c r="F16" s="47">
        <v>11.553999999999998</v>
      </c>
      <c r="G16" s="48">
        <v>57.9</v>
      </c>
      <c r="H16" s="48">
        <v>413.10960273894915</v>
      </c>
      <c r="I16" s="47">
        <v>1.4279999999999999</v>
      </c>
      <c r="J16" s="49">
        <v>5.2268569163694024E-2</v>
      </c>
      <c r="K16" s="50">
        <v>61.239999999999995</v>
      </c>
      <c r="L16" s="50">
        <v>11.941916904099868</v>
      </c>
    </row>
    <row r="17" spans="1:12" ht="14.45" customHeight="1" x14ac:dyDescent="0.25">
      <c r="A17" s="51" t="s">
        <v>62</v>
      </c>
      <c r="B17" s="46" t="s">
        <v>65</v>
      </c>
      <c r="C17" s="46" t="s">
        <v>79</v>
      </c>
      <c r="D17" s="47">
        <v>67.3</v>
      </c>
      <c r="E17" s="47">
        <v>64.563999999999993</v>
      </c>
      <c r="F17" s="47">
        <v>18.934000000000001</v>
      </c>
      <c r="G17" s="48">
        <v>62.068000000000005</v>
      </c>
      <c r="H17" s="48">
        <v>166.52141238624526</v>
      </c>
      <c r="I17" s="47">
        <v>2.0040000000000004</v>
      </c>
      <c r="J17" s="49">
        <v>0.12072104637336505</v>
      </c>
      <c r="K17" s="50">
        <v>12.02</v>
      </c>
      <c r="L17" s="50">
        <v>0.52498626324120434</v>
      </c>
    </row>
    <row r="18" spans="1:12" x14ac:dyDescent="0.25">
      <c r="C18" s="26" t="s">
        <v>80</v>
      </c>
    </row>
    <row r="22" spans="1:12" x14ac:dyDescent="0.25">
      <c r="A22" s="72" t="s">
        <v>68</v>
      </c>
      <c r="B22" s="72" t="s">
        <v>51</v>
      </c>
      <c r="C22" s="27"/>
      <c r="D22" s="58" t="s">
        <v>8</v>
      </c>
      <c r="E22" s="58"/>
      <c r="F22" s="58"/>
      <c r="G22" s="58" t="s">
        <v>0</v>
      </c>
      <c r="H22" s="58"/>
      <c r="I22" s="58"/>
      <c r="J22" s="58"/>
      <c r="K22" s="58"/>
      <c r="L22" s="58"/>
    </row>
    <row r="23" spans="1:12" ht="38.25" x14ac:dyDescent="0.25">
      <c r="A23" s="64"/>
      <c r="B23" s="64"/>
      <c r="C23" s="24"/>
      <c r="D23" s="2" t="s">
        <v>49</v>
      </c>
      <c r="E23" s="2" t="s">
        <v>6</v>
      </c>
      <c r="F23" s="2" t="s">
        <v>7</v>
      </c>
      <c r="G23" s="18" t="s">
        <v>20</v>
      </c>
      <c r="H23" s="18" t="s">
        <v>19</v>
      </c>
      <c r="I23" s="18" t="s">
        <v>22</v>
      </c>
      <c r="J23" s="18" t="s">
        <v>21</v>
      </c>
      <c r="K23" s="18" t="s">
        <v>24</v>
      </c>
      <c r="L23" s="18" t="s">
        <v>50</v>
      </c>
    </row>
    <row r="24" spans="1:12" x14ac:dyDescent="0.25">
      <c r="A24" s="64"/>
      <c r="B24" s="64"/>
      <c r="C24" s="24"/>
      <c r="D24" s="2" t="s">
        <v>44</v>
      </c>
      <c r="E24" s="2" t="s">
        <v>45</v>
      </c>
      <c r="F24" s="2" t="s">
        <v>46</v>
      </c>
      <c r="G24" s="2" t="s">
        <v>16</v>
      </c>
      <c r="H24" s="2" t="s">
        <v>17</v>
      </c>
      <c r="I24" s="2" t="s">
        <v>18</v>
      </c>
      <c r="J24" s="2" t="s">
        <v>23</v>
      </c>
      <c r="K24" s="2" t="s">
        <v>25</v>
      </c>
      <c r="L24" s="2" t="s">
        <v>28</v>
      </c>
    </row>
    <row r="25" spans="1:12" x14ac:dyDescent="0.25">
      <c r="A25" s="65"/>
      <c r="B25" s="65"/>
      <c r="C25" s="25"/>
      <c r="D25" s="2" t="s">
        <v>1</v>
      </c>
      <c r="E25" s="2" t="s">
        <v>1</v>
      </c>
      <c r="F25" s="2" t="s">
        <v>1</v>
      </c>
      <c r="G25" s="2" t="s">
        <v>2</v>
      </c>
      <c r="H25" s="2" t="s">
        <v>11</v>
      </c>
      <c r="I25" s="2" t="s">
        <v>1</v>
      </c>
      <c r="J25" s="2" t="s">
        <v>12</v>
      </c>
      <c r="K25" s="2" t="s">
        <v>3</v>
      </c>
      <c r="L25" s="2" t="s">
        <v>14</v>
      </c>
    </row>
    <row r="26" spans="1:12" x14ac:dyDescent="0.25">
      <c r="A26" s="30" t="s">
        <v>56</v>
      </c>
      <c r="B26" s="30" t="s">
        <v>53</v>
      </c>
      <c r="C26" s="30" t="s">
        <v>81</v>
      </c>
      <c r="D26" s="31">
        <v>0.53213720035344525</v>
      </c>
      <c r="E26" s="31">
        <v>0.30813957876261056</v>
      </c>
      <c r="F26" s="31">
        <v>0.15482247898803331</v>
      </c>
      <c r="G26" s="32">
        <v>2.9099828178186828</v>
      </c>
      <c r="H26" s="32">
        <v>84.746937946096224</v>
      </c>
      <c r="I26" s="31">
        <v>0.26829088691194847</v>
      </c>
      <c r="J26" s="33">
        <v>4.7159659198254657E-3</v>
      </c>
      <c r="K26" s="34">
        <v>7.9732051271743982</v>
      </c>
      <c r="L26" s="34">
        <v>11.206868384692546</v>
      </c>
    </row>
    <row r="27" spans="1:12" x14ac:dyDescent="0.25">
      <c r="A27" s="30" t="s">
        <v>56</v>
      </c>
      <c r="B27" s="30" t="s">
        <v>54</v>
      </c>
      <c r="C27" s="30" t="s">
        <v>82</v>
      </c>
      <c r="D27" s="31">
        <v>0.13126309458488458</v>
      </c>
      <c r="E27" s="31">
        <v>0.29177045772318966</v>
      </c>
      <c r="F27" s="31">
        <v>0.2441311123146741</v>
      </c>
      <c r="G27" s="32">
        <v>7.9857998973177402</v>
      </c>
      <c r="H27" s="32">
        <v>201.48689437258341</v>
      </c>
      <c r="I27" s="31">
        <v>9.9146356463563665E-2</v>
      </c>
      <c r="J27" s="33">
        <v>2.0731288731750406E-3</v>
      </c>
      <c r="K27" s="34">
        <v>25.972543194689294</v>
      </c>
      <c r="L27" s="34">
        <v>32.690005226342159</v>
      </c>
    </row>
    <row r="28" spans="1:12" x14ac:dyDescent="0.25">
      <c r="A28" s="40" t="s">
        <v>47</v>
      </c>
      <c r="B28" s="40" t="s">
        <v>53</v>
      </c>
      <c r="C28" s="40" t="s">
        <v>73</v>
      </c>
      <c r="D28" s="41">
        <v>1.6445728928813117</v>
      </c>
      <c r="E28" s="41">
        <v>1.1670132818438683</v>
      </c>
      <c r="F28" s="41">
        <v>0.7758028099974893</v>
      </c>
      <c r="G28" s="42">
        <v>5.3082012019138967</v>
      </c>
      <c r="H28" s="42">
        <v>21.063734727002064</v>
      </c>
      <c r="I28" s="41">
        <v>0.16703293088490276</v>
      </c>
      <c r="J28" s="43">
        <v>9.1496038997875735E-3</v>
      </c>
      <c r="K28" s="44">
        <v>7.9284298571659129</v>
      </c>
      <c r="L28" s="44">
        <v>0.92302997279563304</v>
      </c>
    </row>
    <row r="29" spans="1:12" x14ac:dyDescent="0.25">
      <c r="A29" s="40" t="s">
        <v>47</v>
      </c>
      <c r="B29" s="40" t="s">
        <v>54</v>
      </c>
      <c r="C29" s="40" t="s">
        <v>75</v>
      </c>
      <c r="D29" s="41">
        <v>3.120520789868253</v>
      </c>
      <c r="E29" s="41">
        <v>2.8940680710722755</v>
      </c>
      <c r="F29" s="41">
        <v>0.9311444571064148</v>
      </c>
      <c r="G29" s="42">
        <v>3.5059948659403357</v>
      </c>
      <c r="H29" s="42">
        <v>28.752004241755234</v>
      </c>
      <c r="I29" s="41">
        <v>0.14106735979665888</v>
      </c>
      <c r="J29" s="43">
        <v>4.7394835214283944E-3</v>
      </c>
      <c r="K29" s="44">
        <v>8.1603921474399801</v>
      </c>
      <c r="L29" s="44">
        <v>1.0096736607493244</v>
      </c>
    </row>
    <row r="30" spans="1:12" x14ac:dyDescent="0.25">
      <c r="A30" s="40" t="s">
        <v>47</v>
      </c>
      <c r="B30" s="40" t="s">
        <v>55</v>
      </c>
      <c r="C30" s="40" t="s">
        <v>74</v>
      </c>
      <c r="D30" s="41">
        <v>2.3888135130227326</v>
      </c>
      <c r="E30" s="41">
        <v>2.6714733762476466</v>
      </c>
      <c r="F30" s="41">
        <v>0.53006603362222682</v>
      </c>
      <c r="G30" s="42">
        <v>2.7905196648653363</v>
      </c>
      <c r="H30" s="42">
        <v>9.2378838303797259</v>
      </c>
      <c r="I30" s="41">
        <v>0.1962651268055538</v>
      </c>
      <c r="J30" s="43">
        <v>7.2414974540646456E-3</v>
      </c>
      <c r="K30" s="44">
        <v>3.7459311259017998</v>
      </c>
      <c r="L30" s="44">
        <v>0.30698729037453754</v>
      </c>
    </row>
    <row r="31" spans="1:12" x14ac:dyDescent="0.25">
      <c r="A31" s="45" t="s">
        <v>66</v>
      </c>
      <c r="B31" s="35" t="s">
        <v>53</v>
      </c>
      <c r="C31" s="35" t="s">
        <v>69</v>
      </c>
      <c r="D31" s="36">
        <v>9.4725645946596249</v>
      </c>
      <c r="E31" s="36">
        <v>9.4201204875521487</v>
      </c>
      <c r="F31" s="36">
        <v>0.76024995889509916</v>
      </c>
      <c r="G31" s="37">
        <v>1.4669696656713753</v>
      </c>
      <c r="H31" s="37">
        <v>13.860504414480395</v>
      </c>
      <c r="I31" s="36">
        <v>0.1329285522376589</v>
      </c>
      <c r="J31" s="38">
        <v>8.2496542155687802E-3</v>
      </c>
      <c r="K31" s="39">
        <v>0.53572380943915565</v>
      </c>
      <c r="L31" s="39">
        <v>0.13848474213708245</v>
      </c>
    </row>
    <row r="32" spans="1:12" x14ac:dyDescent="0.25">
      <c r="A32" s="45" t="s">
        <v>66</v>
      </c>
      <c r="B32" s="35" t="s">
        <v>59</v>
      </c>
      <c r="C32" s="35" t="s">
        <v>70</v>
      </c>
      <c r="D32" s="36">
        <v>2.4146366186240091</v>
      </c>
      <c r="E32" s="36">
        <v>1.9798914111637547</v>
      </c>
      <c r="F32" s="36">
        <v>0.48065580200388747</v>
      </c>
      <c r="G32" s="37">
        <v>3.4590938119686689</v>
      </c>
      <c r="H32" s="37">
        <v>15.854155977964959</v>
      </c>
      <c r="I32" s="36">
        <v>0.48339424903488371</v>
      </c>
      <c r="J32" s="38">
        <v>1.6824150547723661E-2</v>
      </c>
      <c r="K32" s="39">
        <v>1.4724129855444772</v>
      </c>
      <c r="L32" s="39">
        <v>0.18214628146459563</v>
      </c>
    </row>
    <row r="33" spans="1:12" x14ac:dyDescent="0.25">
      <c r="A33" s="45" t="s">
        <v>66</v>
      </c>
      <c r="B33" s="35" t="s">
        <v>58</v>
      </c>
      <c r="C33" s="35" t="s">
        <v>71</v>
      </c>
      <c r="D33" s="36">
        <v>1.9778700665109394</v>
      </c>
      <c r="E33" s="36">
        <v>3.2212373399052727</v>
      </c>
      <c r="F33" s="36">
        <v>0.59718506344348554</v>
      </c>
      <c r="G33" s="37">
        <v>1.5106290080625362</v>
      </c>
      <c r="H33" s="37">
        <v>13.872305141804832</v>
      </c>
      <c r="I33" s="36">
        <v>0.12214745187681976</v>
      </c>
      <c r="J33" s="38">
        <v>7.0632211854629832E-3</v>
      </c>
      <c r="K33" s="39">
        <v>0.98640762365261137</v>
      </c>
      <c r="L33" s="39">
        <v>0.20535356584958561</v>
      </c>
    </row>
    <row r="34" spans="1:12" x14ac:dyDescent="0.25">
      <c r="A34" s="45" t="s">
        <v>66</v>
      </c>
      <c r="B34" s="35" t="s">
        <v>60</v>
      </c>
      <c r="C34" s="35" t="s">
        <v>72</v>
      </c>
      <c r="D34" s="36">
        <v>1.8322336095596523</v>
      </c>
      <c r="E34" s="36">
        <v>7.0601324350184811</v>
      </c>
      <c r="F34" s="36">
        <v>0.67275552766216618</v>
      </c>
      <c r="G34" s="37">
        <v>1.5297058540778352</v>
      </c>
      <c r="H34" s="37">
        <v>14.776289272944254</v>
      </c>
      <c r="I34" s="36">
        <v>0.32761257607118766</v>
      </c>
      <c r="J34" s="38">
        <v>1.5640714746740239E-2</v>
      </c>
      <c r="K34" s="39">
        <v>0.90939540355117154</v>
      </c>
      <c r="L34" s="39">
        <v>0.18953770971283895</v>
      </c>
    </row>
    <row r="35" spans="1:12" x14ac:dyDescent="0.25">
      <c r="A35" s="51" t="s">
        <v>62</v>
      </c>
      <c r="B35" s="46" t="s">
        <v>55</v>
      </c>
      <c r="C35" s="46" t="s">
        <v>76</v>
      </c>
      <c r="D35" s="47">
        <v>3.2577492230065834</v>
      </c>
      <c r="E35" s="47">
        <v>2.565605191762752</v>
      </c>
      <c r="F35" s="47">
        <v>0.808084154033477</v>
      </c>
      <c r="G35" s="48">
        <v>4.6348678514063097</v>
      </c>
      <c r="H35" s="48">
        <v>17.673354552554578</v>
      </c>
      <c r="I35" s="47">
        <v>0.49132473986152947</v>
      </c>
      <c r="J35" s="49">
        <v>3.3630838526688779E-2</v>
      </c>
      <c r="K35" s="50">
        <v>8.1257615027762249</v>
      </c>
      <c r="L35" s="50">
        <v>0.56222272636404524</v>
      </c>
    </row>
    <row r="36" spans="1:12" x14ac:dyDescent="0.25">
      <c r="A36" s="51" t="s">
        <v>62</v>
      </c>
      <c r="B36" s="46" t="s">
        <v>64</v>
      </c>
      <c r="C36" s="46" t="s">
        <v>77</v>
      </c>
      <c r="D36" s="47">
        <v>4.0469581169070681</v>
      </c>
      <c r="E36" s="47">
        <v>8.7826971939148546</v>
      </c>
      <c r="F36" s="47">
        <v>1.3010649484172572</v>
      </c>
      <c r="G36" s="48">
        <v>21.297582022379917</v>
      </c>
      <c r="H36" s="48">
        <v>79.202171475696801</v>
      </c>
      <c r="I36" s="47">
        <v>0.4686683262180199</v>
      </c>
      <c r="J36" s="49">
        <v>2.3175588485129236E-2</v>
      </c>
      <c r="K36" s="50">
        <v>4.7156123674449741</v>
      </c>
      <c r="L36" s="50">
        <v>0.339809610346758</v>
      </c>
    </row>
    <row r="37" spans="1:12" x14ac:dyDescent="0.25">
      <c r="A37" s="51" t="s">
        <v>62</v>
      </c>
      <c r="B37" s="46" t="s">
        <v>63</v>
      </c>
      <c r="C37" s="46" t="s">
        <v>78</v>
      </c>
      <c r="D37" s="47">
        <v>2.3261878685953148</v>
      </c>
      <c r="E37" s="47">
        <v>2.1218788843852527</v>
      </c>
      <c r="F37" s="47">
        <v>0.48065580200388747</v>
      </c>
      <c r="G37" s="48">
        <v>14.330561747538015</v>
      </c>
      <c r="H37" s="48">
        <v>130.63965626959174</v>
      </c>
      <c r="I37" s="47">
        <v>0.21799082549501941</v>
      </c>
      <c r="J37" s="49">
        <v>7.9067430457124086E-3</v>
      </c>
      <c r="K37" s="50">
        <v>24.308187920945503</v>
      </c>
      <c r="L37" s="50">
        <v>5.4328844530595761</v>
      </c>
    </row>
    <row r="38" spans="1:12" x14ac:dyDescent="0.25">
      <c r="A38" s="51" t="s">
        <v>62</v>
      </c>
      <c r="B38" s="46" t="s">
        <v>65</v>
      </c>
      <c r="C38" s="46" t="s">
        <v>79</v>
      </c>
      <c r="D38" s="47">
        <v>1.0706073042904194</v>
      </c>
      <c r="E38" s="47">
        <v>0.52946199108151437</v>
      </c>
      <c r="F38" s="47">
        <v>0.64709350174453117</v>
      </c>
      <c r="G38" s="48">
        <v>16.791727725281824</v>
      </c>
      <c r="H38" s="48">
        <v>37.327273496229644</v>
      </c>
      <c r="I38" s="47">
        <v>0.38526614177734136</v>
      </c>
      <c r="J38" s="49">
        <v>2.5919655800976205E-2</v>
      </c>
      <c r="K38" s="50">
        <v>6.2687319291863206</v>
      </c>
      <c r="L38" s="50">
        <v>0.22897722682237623</v>
      </c>
    </row>
    <row r="39" spans="1:12" x14ac:dyDescent="0.25">
      <c r="C39" s="26" t="s">
        <v>80</v>
      </c>
    </row>
  </sheetData>
  <mergeCells count="8">
    <mergeCell ref="A22:A25"/>
    <mergeCell ref="B22:B25"/>
    <mergeCell ref="D22:F22"/>
    <mergeCell ref="G22:L22"/>
    <mergeCell ref="A1:A4"/>
    <mergeCell ref="B1:B4"/>
    <mergeCell ref="D1:F1"/>
    <mergeCell ref="G1:L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EB6B-CB2E-4FDB-AA07-089E5FBFD904}">
  <dimension ref="A1:L39"/>
  <sheetViews>
    <sheetView zoomScale="70" zoomScaleNormal="70" workbookViewId="0">
      <selection activeCell="W30" sqref="W30"/>
    </sheetView>
  </sheetViews>
  <sheetFormatPr baseColWidth="10" defaultColWidth="11.5703125" defaultRowHeight="15" x14ac:dyDescent="0.25"/>
  <cols>
    <col min="1" max="1" width="25.28515625" style="26" customWidth="1"/>
    <col min="2" max="3" width="11.5703125" style="26"/>
    <col min="4" max="9" width="12.28515625" style="26" customWidth="1"/>
    <col min="10" max="10" width="13.28515625" style="26" customWidth="1"/>
    <col min="11" max="12" width="12.28515625" style="26" customWidth="1"/>
    <col min="13" max="16384" width="11.5703125" style="26"/>
  </cols>
  <sheetData>
    <row r="1" spans="1:12" x14ac:dyDescent="0.25">
      <c r="A1" s="72" t="s">
        <v>67</v>
      </c>
      <c r="B1" s="72" t="s">
        <v>51</v>
      </c>
      <c r="C1" s="27"/>
      <c r="D1" s="58" t="s">
        <v>8</v>
      </c>
      <c r="E1" s="58"/>
      <c r="F1" s="58"/>
      <c r="G1" s="58" t="s">
        <v>0</v>
      </c>
      <c r="H1" s="58"/>
      <c r="I1" s="58"/>
      <c r="J1" s="58"/>
      <c r="K1" s="58"/>
      <c r="L1" s="58"/>
    </row>
    <row r="2" spans="1:12" ht="38.25" x14ac:dyDescent="0.25">
      <c r="A2" s="64"/>
      <c r="B2" s="64"/>
      <c r="C2" s="24"/>
      <c r="D2" s="2" t="s">
        <v>49</v>
      </c>
      <c r="E2" s="2" t="s">
        <v>6</v>
      </c>
      <c r="F2" s="2" t="s">
        <v>7</v>
      </c>
      <c r="G2" s="18" t="s">
        <v>20</v>
      </c>
      <c r="H2" s="18" t="s">
        <v>19</v>
      </c>
      <c r="I2" s="18" t="s">
        <v>22</v>
      </c>
      <c r="J2" s="18" t="s">
        <v>21</v>
      </c>
      <c r="K2" s="18" t="s">
        <v>24</v>
      </c>
      <c r="L2" s="18" t="s">
        <v>50</v>
      </c>
    </row>
    <row r="3" spans="1:12" ht="14.45" customHeight="1" x14ac:dyDescent="0.25">
      <c r="A3" s="64"/>
      <c r="B3" s="64"/>
      <c r="C3" s="24"/>
      <c r="D3" s="2" t="s">
        <v>44</v>
      </c>
      <c r="E3" s="2" t="s">
        <v>45</v>
      </c>
      <c r="F3" s="2" t="s">
        <v>46</v>
      </c>
      <c r="G3" s="2" t="s">
        <v>16</v>
      </c>
      <c r="H3" s="2" t="s">
        <v>17</v>
      </c>
      <c r="I3" s="2" t="s">
        <v>18</v>
      </c>
      <c r="J3" s="2" t="s">
        <v>23</v>
      </c>
      <c r="K3" s="2" t="s">
        <v>25</v>
      </c>
      <c r="L3" s="2" t="s">
        <v>28</v>
      </c>
    </row>
    <row r="4" spans="1:12" x14ac:dyDescent="0.25">
      <c r="A4" s="65"/>
      <c r="B4" s="65"/>
      <c r="C4" s="25"/>
      <c r="D4" s="2" t="s">
        <v>1</v>
      </c>
      <c r="E4" s="2" t="s">
        <v>1</v>
      </c>
      <c r="F4" s="2" t="s">
        <v>1</v>
      </c>
      <c r="G4" s="2" t="s">
        <v>2</v>
      </c>
      <c r="H4" s="2" t="s">
        <v>11</v>
      </c>
      <c r="I4" s="2" t="s">
        <v>1</v>
      </c>
      <c r="J4" s="2" t="s">
        <v>12</v>
      </c>
      <c r="K4" s="2" t="s">
        <v>3</v>
      </c>
      <c r="L4" s="2" t="s">
        <v>14</v>
      </c>
    </row>
    <row r="5" spans="1:12" x14ac:dyDescent="0.25">
      <c r="A5" s="30" t="s">
        <v>56</v>
      </c>
      <c r="B5" s="30" t="s">
        <v>53</v>
      </c>
      <c r="C5" s="30" t="s">
        <v>81</v>
      </c>
      <c r="D5" s="31">
        <v>64.111999999999995</v>
      </c>
      <c r="E5" s="31">
        <v>56.120000000000005</v>
      </c>
      <c r="F5" s="31">
        <v>5.6719999999999997</v>
      </c>
      <c r="G5" s="32">
        <v>14.24</v>
      </c>
      <c r="H5" s="32">
        <v>449.59260301140438</v>
      </c>
      <c r="I5" s="31">
        <v>0.91600000000000004</v>
      </c>
      <c r="J5" s="33">
        <v>1.645456995640111E-2</v>
      </c>
      <c r="K5" s="34">
        <v>26.380000000000003</v>
      </c>
      <c r="L5" s="34">
        <v>45.853193172932087</v>
      </c>
    </row>
    <row r="6" spans="1:12" x14ac:dyDescent="0.25">
      <c r="A6" s="30" t="s">
        <v>56</v>
      </c>
      <c r="B6" s="30" t="s">
        <v>54</v>
      </c>
      <c r="C6" s="30" t="s">
        <v>82</v>
      </c>
      <c r="D6" s="31">
        <v>61.426000000000002</v>
      </c>
      <c r="E6" s="31">
        <v>60.625999999999998</v>
      </c>
      <c r="F6" s="31">
        <v>6.9</v>
      </c>
      <c r="G6" s="32">
        <v>19.940000000000001</v>
      </c>
      <c r="H6" s="32">
        <v>453.96344106465421</v>
      </c>
      <c r="I6" s="31">
        <v>0.35599999999999998</v>
      </c>
      <c r="J6" s="33">
        <v>7.7585097106619124E-3</v>
      </c>
      <c r="K6" s="34">
        <v>73.44</v>
      </c>
      <c r="L6" s="34">
        <v>77.082829310508856</v>
      </c>
    </row>
    <row r="7" spans="1:12" x14ac:dyDescent="0.25">
      <c r="A7" s="40" t="s">
        <v>47</v>
      </c>
      <c r="B7" s="40" t="s">
        <v>53</v>
      </c>
      <c r="C7" s="40" t="s">
        <v>73</v>
      </c>
      <c r="D7" s="41">
        <v>67.202000000000012</v>
      </c>
      <c r="E7" s="41">
        <v>65.701999999999998</v>
      </c>
      <c r="F7" s="41">
        <v>14.538</v>
      </c>
      <c r="G7" s="42">
        <v>32.28</v>
      </c>
      <c r="H7" s="42">
        <v>148.38173713493057</v>
      </c>
      <c r="I7" s="41">
        <v>1.2999999999999998</v>
      </c>
      <c r="J7" s="43">
        <v>6.0052508917954814E-2</v>
      </c>
      <c r="K7" s="44">
        <v>30.4</v>
      </c>
      <c r="L7" s="44">
        <v>3.0670020384281416</v>
      </c>
    </row>
    <row r="8" spans="1:12" x14ac:dyDescent="0.25">
      <c r="A8" s="40" t="s">
        <v>47</v>
      </c>
      <c r="B8" s="40" t="s">
        <v>54</v>
      </c>
      <c r="C8" s="40" t="s">
        <v>75</v>
      </c>
      <c r="D8" s="41">
        <v>67.23</v>
      </c>
      <c r="E8" s="41">
        <v>63.955999999999996</v>
      </c>
      <c r="F8" s="41">
        <v>14.666</v>
      </c>
      <c r="G8" s="42">
        <v>34.880000000000003</v>
      </c>
      <c r="H8" s="42">
        <v>159.41590626079147</v>
      </c>
      <c r="I8" s="41">
        <v>1.55</v>
      </c>
      <c r="J8" s="43">
        <v>7.1845834324217206E-2</v>
      </c>
      <c r="K8" s="44">
        <v>36.92</v>
      </c>
      <c r="L8" s="44">
        <v>3.6594943966083804</v>
      </c>
    </row>
    <row r="9" spans="1:12" x14ac:dyDescent="0.25">
      <c r="A9" s="40" t="s">
        <v>47</v>
      </c>
      <c r="B9" s="40" t="s">
        <v>55</v>
      </c>
      <c r="C9" s="40" t="s">
        <v>74</v>
      </c>
      <c r="D9" s="41">
        <v>68.216000000000008</v>
      </c>
      <c r="E9" s="41">
        <v>67.192000000000007</v>
      </c>
      <c r="F9" s="41">
        <v>14.231999999999999</v>
      </c>
      <c r="G9" s="42">
        <v>21.779999999999998</v>
      </c>
      <c r="H9" s="42">
        <v>102.71211957027177</v>
      </c>
      <c r="I9" s="41">
        <v>1.298</v>
      </c>
      <c r="J9" s="43">
        <v>5.8383448275862074E-2</v>
      </c>
      <c r="K9" s="44">
        <v>24.18</v>
      </c>
      <c r="L9" s="44">
        <v>2.5285573300272999</v>
      </c>
    </row>
    <row r="10" spans="1:12" x14ac:dyDescent="0.25">
      <c r="A10" s="45" t="s">
        <v>66</v>
      </c>
      <c r="B10" s="35" t="s">
        <v>53</v>
      </c>
      <c r="C10" s="35" t="s">
        <v>69</v>
      </c>
      <c r="D10" s="36">
        <v>74.904000000000011</v>
      </c>
      <c r="E10" s="36">
        <v>69.698000000000008</v>
      </c>
      <c r="F10" s="36">
        <v>12.646000000000001</v>
      </c>
      <c r="G10" s="37">
        <v>9.6800000000000015</v>
      </c>
      <c r="H10" s="37">
        <v>54.203961235147823</v>
      </c>
      <c r="I10" s="36">
        <v>1.5980000000000001</v>
      </c>
      <c r="J10" s="38">
        <v>6.4254300435988912E-2</v>
      </c>
      <c r="K10" s="39">
        <v>1.9799999999999998</v>
      </c>
      <c r="L10" s="39">
        <v>0.28843777192013142</v>
      </c>
    </row>
    <row r="11" spans="1:12" ht="14.45" customHeight="1" x14ac:dyDescent="0.25">
      <c r="A11" s="45" t="s">
        <v>66</v>
      </c>
      <c r="B11" s="35" t="s">
        <v>59</v>
      </c>
      <c r="C11" s="35" t="s">
        <v>70</v>
      </c>
      <c r="D11" s="36">
        <v>79.298000000000002</v>
      </c>
      <c r="E11" s="36">
        <v>77.801999999999992</v>
      </c>
      <c r="F11" s="36">
        <v>11.553999999999998</v>
      </c>
      <c r="G11" s="37">
        <v>17.134</v>
      </c>
      <c r="H11" s="37">
        <v>104.78704081670574</v>
      </c>
      <c r="I11" s="36">
        <v>1.752</v>
      </c>
      <c r="J11" s="38">
        <v>6.4045596512088784E-2</v>
      </c>
      <c r="K11" s="39">
        <v>3.1399999999999997</v>
      </c>
      <c r="L11" s="39">
        <v>0.50921141870027975</v>
      </c>
    </row>
    <row r="12" spans="1:12" ht="14.45" customHeight="1" x14ac:dyDescent="0.25">
      <c r="A12" s="45" t="s">
        <v>66</v>
      </c>
      <c r="B12" s="35" t="s">
        <v>58</v>
      </c>
      <c r="C12" s="35" t="s">
        <v>71</v>
      </c>
      <c r="D12" s="36">
        <v>77.878</v>
      </c>
      <c r="E12" s="36">
        <v>75.902000000000001</v>
      </c>
      <c r="F12" s="36">
        <v>12.034000000000002</v>
      </c>
      <c r="G12" s="37">
        <v>17.68</v>
      </c>
      <c r="H12" s="37">
        <v>102.98015303409474</v>
      </c>
      <c r="I12" s="36">
        <v>1.3580000000000001</v>
      </c>
      <c r="J12" s="38">
        <v>5.1989726516052326E-2</v>
      </c>
      <c r="K12" s="39">
        <v>4.3400000000000007</v>
      </c>
      <c r="L12" s="39">
        <v>0.67206692849804806</v>
      </c>
    </row>
    <row r="13" spans="1:12" ht="14.45" customHeight="1" x14ac:dyDescent="0.25">
      <c r="A13" s="45" t="s">
        <v>66</v>
      </c>
      <c r="B13" s="35" t="s">
        <v>60</v>
      </c>
      <c r="C13" s="35" t="s">
        <v>72</v>
      </c>
      <c r="D13" s="36">
        <v>79.525999999999996</v>
      </c>
      <c r="E13" s="36">
        <v>79.062000000000012</v>
      </c>
      <c r="F13" s="36">
        <v>12.000000000000002</v>
      </c>
      <c r="G13" s="37">
        <v>17.600000000000001</v>
      </c>
      <c r="H13" s="37">
        <v>101.13097964736851</v>
      </c>
      <c r="I13" s="36">
        <v>1.3260000000000001</v>
      </c>
      <c r="J13" s="38">
        <v>5.0921411018628612E-2</v>
      </c>
      <c r="K13" s="39">
        <v>4.82</v>
      </c>
      <c r="L13" s="39">
        <v>0.73575744024719358</v>
      </c>
    </row>
    <row r="14" spans="1:12" ht="14.45" customHeight="1" x14ac:dyDescent="0.25">
      <c r="A14" s="51" t="s">
        <v>62</v>
      </c>
      <c r="B14" s="46" t="s">
        <v>55</v>
      </c>
      <c r="C14" s="46" t="s">
        <v>76</v>
      </c>
      <c r="D14" s="47">
        <v>68.003999999999991</v>
      </c>
      <c r="E14" s="47">
        <v>66.085999999999984</v>
      </c>
      <c r="F14" s="47">
        <v>18.61</v>
      </c>
      <c r="G14" s="48">
        <v>35.520000000000003</v>
      </c>
      <c r="H14" s="48">
        <v>99.175784539398052</v>
      </c>
      <c r="I14" s="47">
        <v>1.81</v>
      </c>
      <c r="J14" s="49">
        <v>0.10768139516448674</v>
      </c>
      <c r="K14" s="50">
        <v>26.059999999999995</v>
      </c>
      <c r="L14" s="50">
        <v>1.2727406553534897</v>
      </c>
    </row>
    <row r="15" spans="1:12" ht="14.45" customHeight="1" x14ac:dyDescent="0.25">
      <c r="A15" s="51" t="s">
        <v>62</v>
      </c>
      <c r="B15" s="46" t="s">
        <v>64</v>
      </c>
      <c r="C15" s="46" t="s">
        <v>77</v>
      </c>
      <c r="D15" s="47">
        <v>71.352000000000004</v>
      </c>
      <c r="E15" s="47">
        <v>67.378</v>
      </c>
      <c r="F15" s="47">
        <v>16.848000000000003</v>
      </c>
      <c r="G15" s="48">
        <v>31.82</v>
      </c>
      <c r="H15" s="48">
        <v>105.90966594209092</v>
      </c>
      <c r="I15" s="47">
        <v>1.1199999999999999</v>
      </c>
      <c r="J15" s="49">
        <v>5.9034736424891009E-2</v>
      </c>
      <c r="K15" s="50">
        <v>8.98</v>
      </c>
      <c r="L15" s="50">
        <v>0.55643826541681152</v>
      </c>
    </row>
    <row r="16" spans="1:12" ht="14.45" customHeight="1" x14ac:dyDescent="0.25">
      <c r="A16" s="51" t="s">
        <v>62</v>
      </c>
      <c r="B16" s="46" t="s">
        <v>63</v>
      </c>
      <c r="C16" s="46" t="s">
        <v>78</v>
      </c>
      <c r="D16" s="47">
        <v>69.44</v>
      </c>
      <c r="E16" s="47">
        <v>65.521999999999991</v>
      </c>
      <c r="F16" s="47">
        <v>11.553999999999998</v>
      </c>
      <c r="G16" s="48">
        <v>57.9</v>
      </c>
      <c r="H16" s="48">
        <v>413.10960273894915</v>
      </c>
      <c r="I16" s="47">
        <v>1.4279999999999999</v>
      </c>
      <c r="J16" s="49">
        <v>5.2268569163694024E-2</v>
      </c>
      <c r="K16" s="50">
        <v>61.239999999999995</v>
      </c>
      <c r="L16" s="50">
        <v>11.941916904099868</v>
      </c>
    </row>
    <row r="17" spans="1:12" ht="14.45" customHeight="1" x14ac:dyDescent="0.25">
      <c r="A17" s="51" t="s">
        <v>62</v>
      </c>
      <c r="B17" s="46" t="s">
        <v>65</v>
      </c>
      <c r="C17" s="46" t="s">
        <v>79</v>
      </c>
      <c r="D17" s="47">
        <v>67.3</v>
      </c>
      <c r="E17" s="47">
        <v>64.563999999999993</v>
      </c>
      <c r="F17" s="47">
        <v>18.934000000000001</v>
      </c>
      <c r="G17" s="48">
        <v>62.068000000000005</v>
      </c>
      <c r="H17" s="48">
        <v>166.52141238624526</v>
      </c>
      <c r="I17" s="47">
        <v>2.0040000000000004</v>
      </c>
      <c r="J17" s="49">
        <v>0.12072104637336505</v>
      </c>
      <c r="K17" s="50">
        <v>12.02</v>
      </c>
      <c r="L17" s="50">
        <v>0.52498626324120434</v>
      </c>
    </row>
    <row r="18" spans="1:12" x14ac:dyDescent="0.25">
      <c r="C18" s="26" t="s">
        <v>80</v>
      </c>
    </row>
    <row r="22" spans="1:12" x14ac:dyDescent="0.25">
      <c r="A22" s="72" t="s">
        <v>68</v>
      </c>
      <c r="B22" s="72" t="s">
        <v>51</v>
      </c>
      <c r="C22" s="27"/>
      <c r="D22" s="58" t="s">
        <v>8</v>
      </c>
      <c r="E22" s="58"/>
      <c r="F22" s="58"/>
      <c r="G22" s="58" t="s">
        <v>0</v>
      </c>
      <c r="H22" s="58"/>
      <c r="I22" s="58"/>
      <c r="J22" s="58"/>
      <c r="K22" s="58"/>
      <c r="L22" s="58"/>
    </row>
    <row r="23" spans="1:12" ht="38.25" x14ac:dyDescent="0.25">
      <c r="A23" s="64"/>
      <c r="B23" s="64"/>
      <c r="C23" s="24"/>
      <c r="D23" s="2" t="s">
        <v>49</v>
      </c>
      <c r="E23" s="2" t="s">
        <v>6</v>
      </c>
      <c r="F23" s="2" t="s">
        <v>7</v>
      </c>
      <c r="G23" s="18" t="s">
        <v>20</v>
      </c>
      <c r="H23" s="18" t="s">
        <v>19</v>
      </c>
      <c r="I23" s="18" t="s">
        <v>22</v>
      </c>
      <c r="J23" s="18" t="s">
        <v>21</v>
      </c>
      <c r="K23" s="18" t="s">
        <v>24</v>
      </c>
      <c r="L23" s="18" t="s">
        <v>50</v>
      </c>
    </row>
    <row r="24" spans="1:12" x14ac:dyDescent="0.25">
      <c r="A24" s="64"/>
      <c r="B24" s="64"/>
      <c r="C24" s="24"/>
      <c r="D24" s="2" t="s">
        <v>44</v>
      </c>
      <c r="E24" s="2" t="s">
        <v>45</v>
      </c>
      <c r="F24" s="2" t="s">
        <v>46</v>
      </c>
      <c r="G24" s="2" t="s">
        <v>16</v>
      </c>
      <c r="H24" s="2" t="s">
        <v>17</v>
      </c>
      <c r="I24" s="2" t="s">
        <v>18</v>
      </c>
      <c r="J24" s="2" t="s">
        <v>23</v>
      </c>
      <c r="K24" s="2" t="s">
        <v>25</v>
      </c>
      <c r="L24" s="2" t="s">
        <v>28</v>
      </c>
    </row>
    <row r="25" spans="1:12" x14ac:dyDescent="0.25">
      <c r="A25" s="65"/>
      <c r="B25" s="65"/>
      <c r="C25" s="25"/>
      <c r="D25" s="2" t="s">
        <v>1</v>
      </c>
      <c r="E25" s="2" t="s">
        <v>1</v>
      </c>
      <c r="F25" s="2" t="s">
        <v>1</v>
      </c>
      <c r="G25" s="2" t="s">
        <v>2</v>
      </c>
      <c r="H25" s="2" t="s">
        <v>11</v>
      </c>
      <c r="I25" s="2" t="s">
        <v>1</v>
      </c>
      <c r="J25" s="2" t="s">
        <v>12</v>
      </c>
      <c r="K25" s="2" t="s">
        <v>3</v>
      </c>
      <c r="L25" s="2" t="s">
        <v>14</v>
      </c>
    </row>
    <row r="26" spans="1:12" x14ac:dyDescent="0.25">
      <c r="A26" s="30" t="s">
        <v>56</v>
      </c>
      <c r="B26" s="30" t="s">
        <v>53</v>
      </c>
      <c r="C26" s="30" t="s">
        <v>81</v>
      </c>
      <c r="D26" s="31">
        <v>0.53213720035344525</v>
      </c>
      <c r="E26" s="31">
        <v>0.30813957876261056</v>
      </c>
      <c r="F26" s="31">
        <v>0.15482247898803331</v>
      </c>
      <c r="G26" s="32">
        <v>2.9099828178186828</v>
      </c>
      <c r="H26" s="32">
        <v>84.746937946096224</v>
      </c>
      <c r="I26" s="31">
        <v>0.26829088691194847</v>
      </c>
      <c r="J26" s="33">
        <v>4.7159659198254657E-3</v>
      </c>
      <c r="K26" s="34">
        <v>7.9732051271743982</v>
      </c>
      <c r="L26" s="34">
        <v>11.206868384692546</v>
      </c>
    </row>
    <row r="27" spans="1:12" x14ac:dyDescent="0.25">
      <c r="A27" s="30" t="s">
        <v>56</v>
      </c>
      <c r="B27" s="30" t="s">
        <v>54</v>
      </c>
      <c r="C27" s="30" t="s">
        <v>82</v>
      </c>
      <c r="D27" s="31">
        <v>0.13126309458488458</v>
      </c>
      <c r="E27" s="31">
        <v>0.29177045772318966</v>
      </c>
      <c r="F27" s="31">
        <v>0.2441311123146741</v>
      </c>
      <c r="G27" s="32">
        <v>7.9857998973177402</v>
      </c>
      <c r="H27" s="32">
        <v>201.48689437258341</v>
      </c>
      <c r="I27" s="31">
        <v>9.9146356463563665E-2</v>
      </c>
      <c r="J27" s="33">
        <v>2.0731288731750406E-3</v>
      </c>
      <c r="K27" s="34">
        <v>25.972543194689294</v>
      </c>
      <c r="L27" s="34">
        <v>32.690005226342159</v>
      </c>
    </row>
    <row r="28" spans="1:12" x14ac:dyDescent="0.25">
      <c r="A28" s="40" t="s">
        <v>47</v>
      </c>
      <c r="B28" s="40" t="s">
        <v>53</v>
      </c>
      <c r="C28" s="40" t="s">
        <v>73</v>
      </c>
      <c r="D28" s="41">
        <v>1.6445728928813117</v>
      </c>
      <c r="E28" s="41">
        <v>1.1670132818438683</v>
      </c>
      <c r="F28" s="41">
        <v>0.7758028099974893</v>
      </c>
      <c r="G28" s="42">
        <v>5.3082012019138967</v>
      </c>
      <c r="H28" s="42">
        <v>21.063734727002064</v>
      </c>
      <c r="I28" s="41">
        <v>0.16703293088490276</v>
      </c>
      <c r="J28" s="43">
        <v>9.1496038997875735E-3</v>
      </c>
      <c r="K28" s="44">
        <v>7.9284298571659129</v>
      </c>
      <c r="L28" s="44">
        <v>0.92302997279563304</v>
      </c>
    </row>
    <row r="29" spans="1:12" x14ac:dyDescent="0.25">
      <c r="A29" s="40" t="s">
        <v>47</v>
      </c>
      <c r="B29" s="40" t="s">
        <v>54</v>
      </c>
      <c r="C29" s="40" t="s">
        <v>75</v>
      </c>
      <c r="D29" s="41">
        <v>3.120520789868253</v>
      </c>
      <c r="E29" s="41">
        <v>2.8940680710722755</v>
      </c>
      <c r="F29" s="41">
        <v>0.9311444571064148</v>
      </c>
      <c r="G29" s="42">
        <v>3.5059948659403357</v>
      </c>
      <c r="H29" s="42">
        <v>28.752004241755234</v>
      </c>
      <c r="I29" s="41">
        <v>0.14106735979665888</v>
      </c>
      <c r="J29" s="43">
        <v>4.7394835214283944E-3</v>
      </c>
      <c r="K29" s="44">
        <v>8.1603921474399801</v>
      </c>
      <c r="L29" s="44">
        <v>1.0096736607493244</v>
      </c>
    </row>
    <row r="30" spans="1:12" x14ac:dyDescent="0.25">
      <c r="A30" s="40" t="s">
        <v>47</v>
      </c>
      <c r="B30" s="40" t="s">
        <v>55</v>
      </c>
      <c r="C30" s="40" t="s">
        <v>74</v>
      </c>
      <c r="D30" s="41">
        <v>2.3888135130227326</v>
      </c>
      <c r="E30" s="41">
        <v>2.6714733762476466</v>
      </c>
      <c r="F30" s="41">
        <v>0.53006603362222682</v>
      </c>
      <c r="G30" s="42">
        <v>2.7905196648653363</v>
      </c>
      <c r="H30" s="42">
        <v>9.2378838303797259</v>
      </c>
      <c r="I30" s="41">
        <v>0.1962651268055538</v>
      </c>
      <c r="J30" s="43">
        <v>7.2414974540646456E-3</v>
      </c>
      <c r="K30" s="44">
        <v>3.7459311259017998</v>
      </c>
      <c r="L30" s="44">
        <v>0.30698729037453754</v>
      </c>
    </row>
    <row r="31" spans="1:12" x14ac:dyDescent="0.25">
      <c r="A31" s="45" t="s">
        <v>66</v>
      </c>
      <c r="B31" s="35" t="s">
        <v>53</v>
      </c>
      <c r="C31" s="35" t="s">
        <v>69</v>
      </c>
      <c r="D31" s="36">
        <v>9.4725645946596249</v>
      </c>
      <c r="E31" s="36">
        <v>9.4201204875521487</v>
      </c>
      <c r="F31" s="36">
        <v>0.76024995889509916</v>
      </c>
      <c r="G31" s="37">
        <v>1.4669696656713753</v>
      </c>
      <c r="H31" s="37">
        <v>13.860504414480395</v>
      </c>
      <c r="I31" s="36">
        <v>0.1329285522376589</v>
      </c>
      <c r="J31" s="38">
        <v>8.2496542155687802E-3</v>
      </c>
      <c r="K31" s="39">
        <v>0.53572380943915565</v>
      </c>
      <c r="L31" s="39">
        <v>0.13848474213708245</v>
      </c>
    </row>
    <row r="32" spans="1:12" x14ac:dyDescent="0.25">
      <c r="A32" s="45" t="s">
        <v>66</v>
      </c>
      <c r="B32" s="35" t="s">
        <v>59</v>
      </c>
      <c r="C32" s="35" t="s">
        <v>70</v>
      </c>
      <c r="D32" s="36">
        <v>2.4146366186240091</v>
      </c>
      <c r="E32" s="36">
        <v>1.9798914111637547</v>
      </c>
      <c r="F32" s="36">
        <v>0.48065580200388747</v>
      </c>
      <c r="G32" s="37">
        <v>3.4590938119686689</v>
      </c>
      <c r="H32" s="37">
        <v>15.854155977964959</v>
      </c>
      <c r="I32" s="36">
        <v>0.48339424903488371</v>
      </c>
      <c r="J32" s="38">
        <v>1.6824150547723661E-2</v>
      </c>
      <c r="K32" s="39">
        <v>1.4724129855444772</v>
      </c>
      <c r="L32" s="39">
        <v>0.18214628146459563</v>
      </c>
    </row>
    <row r="33" spans="1:12" x14ac:dyDescent="0.25">
      <c r="A33" s="45" t="s">
        <v>66</v>
      </c>
      <c r="B33" s="35" t="s">
        <v>58</v>
      </c>
      <c r="C33" s="35" t="s">
        <v>71</v>
      </c>
      <c r="D33" s="36">
        <v>1.9778700665109394</v>
      </c>
      <c r="E33" s="36">
        <v>3.2212373399052727</v>
      </c>
      <c r="F33" s="36">
        <v>0.59718506344348554</v>
      </c>
      <c r="G33" s="37">
        <v>1.5106290080625362</v>
      </c>
      <c r="H33" s="37">
        <v>13.872305141804832</v>
      </c>
      <c r="I33" s="36">
        <v>0.12214745187681976</v>
      </c>
      <c r="J33" s="38">
        <v>7.0632211854629832E-3</v>
      </c>
      <c r="K33" s="39">
        <v>0.98640762365261137</v>
      </c>
      <c r="L33" s="39">
        <v>0.20535356584958561</v>
      </c>
    </row>
    <row r="34" spans="1:12" x14ac:dyDescent="0.25">
      <c r="A34" s="45" t="s">
        <v>66</v>
      </c>
      <c r="B34" s="35" t="s">
        <v>60</v>
      </c>
      <c r="C34" s="35" t="s">
        <v>72</v>
      </c>
      <c r="D34" s="36">
        <v>1.8322336095596523</v>
      </c>
      <c r="E34" s="36">
        <v>7.0601324350184811</v>
      </c>
      <c r="F34" s="36">
        <v>0.67275552766216618</v>
      </c>
      <c r="G34" s="37">
        <v>1.5297058540778352</v>
      </c>
      <c r="H34" s="37">
        <v>14.776289272944254</v>
      </c>
      <c r="I34" s="36">
        <v>0.32761257607118766</v>
      </c>
      <c r="J34" s="38">
        <v>1.5640714746740239E-2</v>
      </c>
      <c r="K34" s="39">
        <v>0.90939540355117154</v>
      </c>
      <c r="L34" s="39">
        <v>0.18953770971283895</v>
      </c>
    </row>
    <row r="35" spans="1:12" x14ac:dyDescent="0.25">
      <c r="A35" s="51" t="s">
        <v>62</v>
      </c>
      <c r="B35" s="46" t="s">
        <v>55</v>
      </c>
      <c r="C35" s="46" t="s">
        <v>76</v>
      </c>
      <c r="D35" s="47">
        <v>3.2577492230065834</v>
      </c>
      <c r="E35" s="47">
        <v>2.565605191762752</v>
      </c>
      <c r="F35" s="47">
        <v>0.808084154033477</v>
      </c>
      <c r="G35" s="48">
        <v>4.6348678514063097</v>
      </c>
      <c r="H35" s="48">
        <v>17.673354552554578</v>
      </c>
      <c r="I35" s="47">
        <v>0.49132473986152947</v>
      </c>
      <c r="J35" s="49">
        <v>3.3630838526688779E-2</v>
      </c>
      <c r="K35" s="50">
        <v>8.1257615027762249</v>
      </c>
      <c r="L35" s="50">
        <v>0.56222272636404524</v>
      </c>
    </row>
    <row r="36" spans="1:12" x14ac:dyDescent="0.25">
      <c r="A36" s="51" t="s">
        <v>62</v>
      </c>
      <c r="B36" s="46" t="s">
        <v>64</v>
      </c>
      <c r="C36" s="46" t="s">
        <v>77</v>
      </c>
      <c r="D36" s="47">
        <v>4.0469581169070681</v>
      </c>
      <c r="E36" s="47">
        <v>8.7826971939148546</v>
      </c>
      <c r="F36" s="47">
        <v>1.3010649484172572</v>
      </c>
      <c r="G36" s="48">
        <v>21.297582022379917</v>
      </c>
      <c r="H36" s="48">
        <v>79.202171475696801</v>
      </c>
      <c r="I36" s="47">
        <v>0.4686683262180199</v>
      </c>
      <c r="J36" s="49">
        <v>2.3175588485129236E-2</v>
      </c>
      <c r="K36" s="50">
        <v>4.7156123674449741</v>
      </c>
      <c r="L36" s="50">
        <v>0.339809610346758</v>
      </c>
    </row>
    <row r="37" spans="1:12" x14ac:dyDescent="0.25">
      <c r="A37" s="51" t="s">
        <v>62</v>
      </c>
      <c r="B37" s="46" t="s">
        <v>63</v>
      </c>
      <c r="C37" s="46" t="s">
        <v>78</v>
      </c>
      <c r="D37" s="47">
        <v>2.3261878685953148</v>
      </c>
      <c r="E37" s="47">
        <v>2.1218788843852527</v>
      </c>
      <c r="F37" s="47">
        <v>0.48065580200388747</v>
      </c>
      <c r="G37" s="48">
        <v>14.330561747538015</v>
      </c>
      <c r="H37" s="48">
        <v>130.63965626959174</v>
      </c>
      <c r="I37" s="47">
        <v>0.21799082549501941</v>
      </c>
      <c r="J37" s="49">
        <v>7.9067430457124086E-3</v>
      </c>
      <c r="K37" s="50">
        <v>24.308187920945503</v>
      </c>
      <c r="L37" s="50">
        <v>5.4328844530595761</v>
      </c>
    </row>
    <row r="38" spans="1:12" x14ac:dyDescent="0.25">
      <c r="A38" s="51" t="s">
        <v>62</v>
      </c>
      <c r="B38" s="46" t="s">
        <v>65</v>
      </c>
      <c r="C38" s="46" t="s">
        <v>79</v>
      </c>
      <c r="D38" s="47">
        <v>1.0706073042904194</v>
      </c>
      <c r="E38" s="47">
        <v>0.52946199108151437</v>
      </c>
      <c r="F38" s="47">
        <v>0.64709350174453117</v>
      </c>
      <c r="G38" s="48">
        <v>16.791727725281824</v>
      </c>
      <c r="H38" s="48">
        <v>37.327273496229644</v>
      </c>
      <c r="I38" s="47">
        <v>0.38526614177734136</v>
      </c>
      <c r="J38" s="49">
        <v>2.5919655800976205E-2</v>
      </c>
      <c r="K38" s="50">
        <v>6.2687319291863206</v>
      </c>
      <c r="L38" s="50">
        <v>0.22897722682237623</v>
      </c>
    </row>
    <row r="39" spans="1:12" x14ac:dyDescent="0.25">
      <c r="C39" s="26" t="s">
        <v>80</v>
      </c>
    </row>
  </sheetData>
  <mergeCells count="8">
    <mergeCell ref="A1:A4"/>
    <mergeCell ref="B1:B4"/>
    <mergeCell ref="D1:F1"/>
    <mergeCell ref="G1:L1"/>
    <mergeCell ref="A22:A25"/>
    <mergeCell ref="B22:B25"/>
    <mergeCell ref="D22:F22"/>
    <mergeCell ref="G22:L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donnees</vt:lpstr>
      <vt:lpstr>bilan</vt:lpstr>
      <vt:lpstr>bilan (2)</vt:lpstr>
      <vt:lpstr>bilan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VILLEMEJANE</dc:creator>
  <cp:lastModifiedBy>Julien VILLEMEJANE</cp:lastModifiedBy>
  <dcterms:created xsi:type="dcterms:W3CDTF">2025-07-17T09:50:52Z</dcterms:created>
  <dcterms:modified xsi:type="dcterms:W3CDTF">2025-08-20T13:05:47Z</dcterms:modified>
</cp:coreProperties>
</file>